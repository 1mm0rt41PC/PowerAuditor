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a843d07d83f24efa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29" codeName="{54D0D2CB-4C12-4D6E-6EDF-ACB5E8E520A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P:\Dev\PowerAuditor\dev\"/>
    </mc:Choice>
  </mc:AlternateContent>
  <xr:revisionPtr revIDLastSave="0" documentId="13_ncr:1_{7395949C-D714-44D2-832C-FE265F8F6BEF}" xr6:coauthVersionLast="43" xr6:coauthVersionMax="43" xr10:uidLastSave="{00000000-0000-0000-0000-000000000000}"/>
  <bookViews>
    <workbookView xWindow="-108" yWindow="-108" windowWidth="23256" windowHeight="12720" activeTab="1" xr2:uid="{00000000-000D-0000-FFFF-FFFF00000000}"/>
  </bookViews>
  <sheets>
    <sheet name="PowerAuditor" sheetId="9" r:id="rId1"/>
    <sheet name="CASA_TI_v1-FR" sheetId="11" r:id="rId2"/>
  </sheets>
  <functionGroups builtInGroupCount="19"/>
  <definedNames>
    <definedName name="BEGIN_DATE">PowerAuditor!$F$12</definedName>
    <definedName name="CLIENT">PowerAuditor!$F$9</definedName>
    <definedName name="END_DATE">PowerAuditor!$F$13</definedName>
    <definedName name="LEVEL">PowerAuditor!$F$16</definedName>
    <definedName name="LEVEL_LIST">'CASA_TI_v1-FR'!$AO$43:$AO$46</definedName>
    <definedName name="NES_v1_matrix_DR">'CASA_TI_v1-FR'!$AA$47</definedName>
    <definedName name="NES_v1_matrix_EI">'CASA_TI_v1-FR'!$AA$54</definedName>
    <definedName name="NES_v1_matrix_Priorité">'CASA_TI_v1-FR'!$AG$42</definedName>
    <definedName name="NES_v1_matrix_Risque">'CASA_TI_v1-FR'!$AG$49</definedName>
    <definedName name="OWASP_T10_EN">PowerAuditor!$A$38:$A$47</definedName>
    <definedName name="OWASP_T10_FR">PowerAuditor!$B$38:$B$47</definedName>
    <definedName name="PowerAuditorVersion">PowerAuditor!$D$38</definedName>
    <definedName name="REPORT_TYPE">PowerAuditor!$F$15</definedName>
    <definedName name="REPORT_TYPE_LIST">REPORT_TYPE_TBL[REPORT TYPE]</definedName>
    <definedName name="SCOPE">PowerAuditor!$F$14</definedName>
    <definedName name="TARGET">PowerAuditor!$F$10</definedName>
    <definedName name="TemplateVersion">'CASA_TI_v1-FR'!$AP$43</definedName>
    <definedName name="VERSION_DATE">PowerAuditor!$F$11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K3" i="11" l="1"/>
  <c r="P3" i="1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1mm0rt41PC</author>
  </authors>
  <commentList>
    <comment ref="F11" authorId="0" shapeId="0" xr:uid="{EDF1F4EE-C395-4408-8483-1F6FA230FC52}">
      <text>
        <r>
          <rPr>
            <b/>
            <sz val="9"/>
            <color indexed="81"/>
            <rFont val="Tahoma"/>
            <family val="2"/>
          </rPr>
          <t>1mm0rt41PC:</t>
        </r>
        <r>
          <rPr>
            <sz val="9"/>
            <color indexed="81"/>
            <rFont val="Tahoma"/>
            <family val="2"/>
          </rPr>
          <t xml:space="preserve">
If empty use the current date with the format YYYY-MM-DD</t>
        </r>
      </text>
    </comment>
  </commentList>
</comments>
</file>

<file path=xl/sharedStrings.xml><?xml version="1.0" encoding="utf-8"?>
<sst xmlns="http://schemas.openxmlformats.org/spreadsheetml/2006/main" count="93" uniqueCount="85">
  <si>
    <t>Target</t>
  </si>
  <si>
    <t>Client</t>
  </si>
  <si>
    <t>Version</t>
  </si>
  <si>
    <t>Begin</t>
  </si>
  <si>
    <t>End</t>
  </si>
  <si>
    <t>Global level</t>
  </si>
  <si>
    <t>Report Type</t>
  </si>
  <si>
    <t>Value</t>
  </si>
  <si>
    <t>Key</t>
  </si>
  <si>
    <t>REPORT TYPE</t>
  </si>
  <si>
    <t>2018-11-15</t>
  </si>
  <si>
    <t>2018-11-16</t>
  </si>
  <si>
    <t>www.poney.club</t>
  </si>
  <si>
    <t>Scope</t>
  </si>
  <si>
    <t>myCli</t>
  </si>
  <si>
    <t>Example_v1</t>
  </si>
  <si>
    <t>My Pony WebSite</t>
  </si>
  <si>
    <t>NES_TI_v1</t>
  </si>
  <si>
    <t>Id #</t>
  </si>
  <si>
    <t>Cible</t>
  </si>
  <si>
    <t>Vulnérabilité</t>
  </si>
  <si>
    <t>Compte
requis</t>
  </si>
  <si>
    <t>Catégorie</t>
  </si>
  <si>
    <t>Description</t>
  </si>
  <si>
    <t>Difficulté d'exploitation ( E )</t>
  </si>
  <si>
    <t>Impact ( I )</t>
  </si>
  <si>
    <t>Risque (E x I) 
= ( R )</t>
  </si>
  <si>
    <t>Recommandation</t>
  </si>
  <si>
    <t>Risque</t>
  </si>
  <si>
    <t>Type de 
correctif</t>
  </si>
  <si>
    <t>Difficulté de mise
 en place ( D )</t>
  </si>
  <si>
    <t>Priorité ( P )</t>
  </si>
  <si>
    <t>id</t>
  </si>
  <si>
    <t>target</t>
  </si>
  <si>
    <t>name</t>
  </si>
  <si>
    <t>account</t>
  </si>
  <si>
    <t>category</t>
  </si>
  <si>
    <t>desc</t>
  </si>
  <si>
    <t>E</t>
  </si>
  <si>
    <t>I</t>
  </si>
  <si>
    <t>R</t>
  </si>
  <si>
    <t>fix</t>
  </si>
  <si>
    <t>risk</t>
  </si>
  <si>
    <t>fixtype</t>
  </si>
  <si>
    <t>D</t>
  </si>
  <si>
    <t>P</t>
  </si>
  <si>
    <t>4 - CRITIQUE</t>
  </si>
  <si>
    <t>Priorité</t>
  </si>
  <si>
    <t>TOP TEN OWASP FR</t>
  </si>
  <si>
    <t>LEVEL</t>
  </si>
  <si>
    <t>VERSION</t>
  </si>
  <si>
    <t>Risk</t>
  </si>
  <si>
    <t>1 - BASSE</t>
  </si>
  <si>
    <t>A1 – Injection</t>
  </si>
  <si>
    <t>2 - MOYENNE</t>
  </si>
  <si>
    <t>A2 – Violation de gestion d'authentification et de session</t>
  </si>
  <si>
    <t>3 - URGENTE</t>
  </si>
  <si>
    <t>A3 – Cross-Site Scripting (XSS)</t>
  </si>
  <si>
    <t>4 - IMMEDIATE</t>
  </si>
  <si>
    <t>A4 – Violation de contrôle d'accès</t>
  </si>
  <si>
    <t>DR</t>
  </si>
  <si>
    <t>Diff reco</t>
  </si>
  <si>
    <t>A5 – Mauvaise configuration de sécurité</t>
  </si>
  <si>
    <t>A6 – Exposition de données sensibles</t>
  </si>
  <si>
    <t>A7 – Protection insuffisante contre les attaques</t>
  </si>
  <si>
    <t>Impact</t>
  </si>
  <si>
    <t>1 - FAIBLE</t>
  </si>
  <si>
    <t>A8 – Falsification de requêtes intersites (CSRF)</t>
  </si>
  <si>
    <t>2 - NOTABLE</t>
  </si>
  <si>
    <t>A9 – Utilisation de composants avec des vulnérabilités connues</t>
  </si>
  <si>
    <t>3 - DOMMAGEABLE</t>
  </si>
  <si>
    <t>A10 – APIs non sécurisées</t>
  </si>
  <si>
    <t>EI</t>
  </si>
  <si>
    <t>Exploitation</t>
  </si>
  <si>
    <t>CASA_TI_v1-FR</t>
  </si>
  <si>
    <t>Exposé sur internet</t>
  </si>
  <si>
    <t>CVSS</t>
  </si>
  <si>
    <t>exposition</t>
  </si>
  <si>
    <t>OUI</t>
  </si>
  <si>
    <t>NON</t>
  </si>
  <si>
    <t>3 - UTILISATEUR</t>
  </si>
  <si>
    <t>3 - MOYEN</t>
  </si>
  <si>
    <t>2 - FAIBLE</t>
  </si>
  <si>
    <t>1 - NULL</t>
  </si>
  <si>
    <t>2019-07-1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</si>
</sst>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2" x14ac:knownFonts="1">
    <font>
      <sz val="11"/>
      <color rgb="FF000000"/>
      <name val="Calibri"/>
      <family val="2"/>
      <charset val="1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u/>
      <sz val="10"/>
      <color theme="10"/>
      <name val="Arial"/>
      <family val="2"/>
    </font>
    <font>
      <sz val="11"/>
      <color rgb="FF000000"/>
      <name val="Calibri"/>
      <family val="2"/>
      <charset val="1"/>
    </font>
    <font>
      <u/>
      <sz val="11"/>
      <color theme="10"/>
      <name val="Calibri"/>
      <family val="2"/>
      <charset val="1"/>
    </font>
    <font>
      <b/>
      <sz val="11"/>
      <color rgb="FF00000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0"/>
      <color rgb="FF000000"/>
      <name val="Arial"/>
      <family val="2"/>
    </font>
    <font>
      <sz val="11"/>
      <color theme="0"/>
      <name val="Calibri"/>
      <family val="2"/>
      <scheme val="minor"/>
    </font>
    <font>
      <sz val="11"/>
      <color theme="0"/>
      <name val="Calibri"/>
      <family val="2"/>
      <charset val="1"/>
    </font>
    <font>
      <sz val="11"/>
      <color rgb="FF000000"/>
      <name val="Calibri"/>
      <family val="2"/>
    </font>
    <font>
      <b/>
      <sz val="10"/>
      <color rgb="FF000000"/>
      <name val="Calibri"/>
      <family val="2"/>
    </font>
    <font>
      <sz val="11"/>
      <color theme="0"/>
      <name val="Calibri"/>
      <family val="2"/>
    </font>
    <font>
      <sz val="11"/>
      <color theme="1"/>
      <name val="Calibri"/>
      <family val="2"/>
    </font>
    <font>
      <b/>
      <u/>
      <sz val="11"/>
      <color rgb="FF000000"/>
      <name val="Calibri"/>
      <family val="2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FFC000"/>
        <bgColor rgb="FFFF9900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theme="4" tint="0.79998168889431442"/>
      </patternFill>
    </fill>
    <fill>
      <patternFill patternType="solid">
        <fgColor rgb="FF7030A0"/>
        <bgColor indexed="64"/>
      </patternFill>
    </fill>
    <fill>
      <patternFill patternType="solid">
        <fgColor theme="1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</borders>
  <cellStyleXfs count="88">
    <xf numFmtId="0" fontId="0" fillId="0" borderId="0"/>
    <xf numFmtId="0" fontId="76" fillId="0" borderId="0"/>
    <xf numFmtId="0" fontId="77" fillId="0" borderId="0"/>
    <xf numFmtId="0" fontId="78" fillId="0" borderId="0" applyNumberFormat="0" applyFill="0" applyBorder="0" applyAlignment="0" applyProtection="0">
      <alignment vertical="top"/>
      <protection locked="0"/>
    </xf>
    <xf numFmtId="0" fontId="75" fillId="0" borderId="0"/>
    <xf numFmtId="0" fontId="79" fillId="0" borderId="0"/>
    <xf numFmtId="0" fontId="74" fillId="0" borderId="0"/>
    <xf numFmtId="0" fontId="73" fillId="0" borderId="0"/>
    <xf numFmtId="0" fontId="72" fillId="0" borderId="0"/>
    <xf numFmtId="0" fontId="80" fillId="0" borderId="0" applyNumberFormat="0" applyFill="0" applyBorder="0" applyAlignment="0" applyProtection="0"/>
    <xf numFmtId="0" fontId="71" fillId="0" borderId="0"/>
    <xf numFmtId="0" fontId="70" fillId="0" borderId="0"/>
    <xf numFmtId="0" fontId="69" fillId="0" borderId="0"/>
    <xf numFmtId="0" fontId="68" fillId="0" borderId="0"/>
    <xf numFmtId="0" fontId="67" fillId="0" borderId="0"/>
    <xf numFmtId="0" fontId="66" fillId="0" borderId="0"/>
    <xf numFmtId="0" fontId="65" fillId="0" borderId="0"/>
    <xf numFmtId="0" fontId="64" fillId="0" borderId="0"/>
    <xf numFmtId="0" fontId="63" fillId="0" borderId="0"/>
    <xf numFmtId="0" fontId="62" fillId="0" borderId="0"/>
    <xf numFmtId="0" fontId="61" fillId="0" borderId="0"/>
    <xf numFmtId="0" fontId="60" fillId="0" borderId="0"/>
    <xf numFmtId="0" fontId="60" fillId="0" borderId="0"/>
    <xf numFmtId="0" fontId="59" fillId="0" borderId="0"/>
    <xf numFmtId="0" fontId="58" fillId="0" borderId="0"/>
    <xf numFmtId="0" fontId="57" fillId="0" borderId="0"/>
    <xf numFmtId="0" fontId="56" fillId="0" borderId="0"/>
    <xf numFmtId="0" fontId="55" fillId="0" borderId="0"/>
    <xf numFmtId="0" fontId="54" fillId="0" borderId="0"/>
    <xf numFmtId="0" fontId="53" fillId="0" borderId="0"/>
    <xf numFmtId="0" fontId="52" fillId="0" borderId="0"/>
    <xf numFmtId="0" fontId="51" fillId="0" borderId="0"/>
    <xf numFmtId="0" fontId="50" fillId="0" borderId="0"/>
    <xf numFmtId="0" fontId="49" fillId="0" borderId="0"/>
    <xf numFmtId="0" fontId="48" fillId="0" borderId="0"/>
    <xf numFmtId="0" fontId="47" fillId="0" borderId="0"/>
    <xf numFmtId="0" fontId="46" fillId="0" borderId="0"/>
    <xf numFmtId="0" fontId="45" fillId="0" borderId="0"/>
    <xf numFmtId="0" fontId="44" fillId="0" borderId="0"/>
    <xf numFmtId="0" fontId="43" fillId="0" borderId="0"/>
    <xf numFmtId="0" fontId="42" fillId="0" borderId="0"/>
    <xf numFmtId="0" fontId="41" fillId="0" borderId="0"/>
    <xf numFmtId="0" fontId="40" fillId="0" borderId="0"/>
    <xf numFmtId="0" fontId="39" fillId="0" borderId="0"/>
    <xf numFmtId="0" fontId="38" fillId="0" borderId="0"/>
    <xf numFmtId="0" fontId="37" fillId="0" borderId="0"/>
    <xf numFmtId="0" fontId="36" fillId="0" borderId="0"/>
    <xf numFmtId="0" fontId="35" fillId="0" borderId="0"/>
    <xf numFmtId="0" fontId="34" fillId="0" borderId="0"/>
    <xf numFmtId="0" fontId="33" fillId="0" borderId="0"/>
    <xf numFmtId="0" fontId="33" fillId="0" borderId="0"/>
    <xf numFmtId="0" fontId="32" fillId="0" borderId="0"/>
    <xf numFmtId="0" fontId="31" fillId="0" borderId="0"/>
    <xf numFmtId="0" fontId="31" fillId="0" borderId="0"/>
    <xf numFmtId="0" fontId="30" fillId="0" borderId="0"/>
    <xf numFmtId="0" fontId="29" fillId="0" borderId="0"/>
    <xf numFmtId="0" fontId="28" fillId="0" borderId="0"/>
    <xf numFmtId="0" fontId="27" fillId="0" borderId="0"/>
    <xf numFmtId="0" fontId="26" fillId="0" borderId="0"/>
    <xf numFmtId="0" fontId="25" fillId="0" borderId="0"/>
    <xf numFmtId="0" fontId="25" fillId="0" borderId="0"/>
    <xf numFmtId="0" fontId="24" fillId="0" borderId="0"/>
    <xf numFmtId="0" fontId="23" fillId="0" borderId="0"/>
    <xf numFmtId="0" fontId="22" fillId="0" borderId="0"/>
    <xf numFmtId="0" fontId="21" fillId="0" borderId="0"/>
    <xf numFmtId="0" fontId="20" fillId="0" borderId="0"/>
    <xf numFmtId="0" fontId="19" fillId="0" borderId="0"/>
    <xf numFmtId="0" fontId="18" fillId="0" borderId="0"/>
    <xf numFmtId="0" fontId="17" fillId="0" borderId="0"/>
    <xf numFmtId="0" fontId="16" fillId="0" borderId="0"/>
    <xf numFmtId="0" fontId="15" fillId="0" borderId="0"/>
    <xf numFmtId="0" fontId="14" fillId="0" borderId="0"/>
    <xf numFmtId="0" fontId="13" fillId="0" borderId="0"/>
    <xf numFmtId="0" fontId="13" fillId="0" borderId="0"/>
    <xf numFmtId="0" fontId="12" fillId="0" borderId="0"/>
    <xf numFmtId="0" fontId="11" fillId="0" borderId="0"/>
    <xf numFmtId="0" fontId="10" fillId="0" borderId="0"/>
    <xf numFmtId="0" fontId="9" fillId="0" borderId="0"/>
    <xf numFmtId="0" fontId="8" fillId="0" borderId="0"/>
    <xf numFmtId="0" fontId="7" fillId="0" borderId="0"/>
    <xf numFmtId="0" fontId="6" fillId="0" borderId="0"/>
    <xf numFmtId="0" fontId="5" fillId="0" borderId="0"/>
    <xf numFmtId="0" fontId="5" fillId="0" borderId="0"/>
    <xf numFmtId="0" fontId="5" fillId="0" borderId="0"/>
    <xf numFmtId="0" fontId="4" fillId="0" borderId="0"/>
    <xf numFmtId="0" fontId="3" fillId="0" borderId="0"/>
    <xf numFmtId="0" fontId="2" fillId="0" borderId="0"/>
    <xf numFmtId="0" fontId="1" fillId="0" borderId="0"/>
  </cellStyleXfs>
  <cellXfs count="39">
    <xf numFmtId="0" fontId="0" fillId="0" borderId="0" xfId="0"/>
    <xf numFmtId="0" fontId="0" fillId="2" borderId="0" xfId="0" applyFill="1"/>
    <xf numFmtId="0" fontId="0" fillId="0" borderId="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49" fontId="0" fillId="0" borderId="4" xfId="0" applyNumberFormat="1" applyBorder="1" applyAlignment="1">
      <alignment horizontal="center" vertical="center"/>
    </xf>
    <xf numFmtId="0" fontId="80" fillId="0" borderId="4" xfId="9" applyBorder="1" applyAlignment="1">
      <alignment horizontal="center" vertical="center"/>
    </xf>
    <xf numFmtId="0" fontId="81" fillId="0" borderId="1" xfId="0" applyFont="1" applyBorder="1"/>
    <xf numFmtId="0" fontId="81" fillId="0" borderId="3" xfId="0" applyFont="1" applyBorder="1"/>
    <xf numFmtId="0" fontId="81" fillId="0" borderId="5" xfId="0" applyFont="1" applyBorder="1"/>
    <xf numFmtId="49" fontId="0" fillId="0" borderId="0" xfId="0" applyNumberFormat="1"/>
    <xf numFmtId="0" fontId="84" fillId="3" borderId="6" xfId="2" applyFont="1" applyFill="1" applyBorder="1" applyAlignment="1" applyProtection="1">
      <alignment horizontal="center"/>
      <protection locked="0"/>
    </xf>
    <xf numFmtId="0" fontId="86" fillId="0" borderId="0" xfId="5" applyFont="1" applyAlignment="1">
      <alignment horizontal="center" vertical="center"/>
    </xf>
    <xf numFmtId="0" fontId="86" fillId="0" borderId="0" xfId="5" applyFont="1" applyAlignment="1">
      <alignment horizontal="center" vertical="center" wrapText="1"/>
    </xf>
    <xf numFmtId="0" fontId="79" fillId="0" borderId="0" xfId="5"/>
    <xf numFmtId="0" fontId="79" fillId="0" borderId="0" xfId="5" applyAlignment="1">
      <alignment horizontal="center" vertical="center" wrapText="1" shrinkToFit="1"/>
    </xf>
    <xf numFmtId="0" fontId="81" fillId="0" borderId="0" xfId="5" applyFont="1" applyAlignment="1">
      <alignment horizontal="center" vertical="center" wrapText="1" shrinkToFit="1"/>
    </xf>
    <xf numFmtId="0" fontId="87" fillId="0" borderId="0" xfId="5" applyFont="1" applyAlignment="1">
      <alignment horizontal="left" vertical="center" wrapText="1" shrinkToFit="1"/>
    </xf>
    <xf numFmtId="0" fontId="79" fillId="0" borderId="0" xfId="5" applyAlignment="1">
      <alignment horizontal="left" vertical="center" wrapText="1" shrinkToFit="1"/>
    </xf>
    <xf numFmtId="0" fontId="87" fillId="0" borderId="0" xfId="5" applyFont="1"/>
    <xf numFmtId="0" fontId="85" fillId="0" borderId="0" xfId="5" applyFont="1"/>
    <xf numFmtId="0" fontId="87" fillId="5" borderId="0" xfId="5" applyFont="1" applyFill="1" applyAlignment="1">
      <alignment horizontal="center" vertical="center"/>
    </xf>
    <xf numFmtId="0" fontId="87" fillId="6" borderId="0" xfId="5" applyFont="1" applyFill="1" applyAlignment="1">
      <alignment horizontal="center" vertical="center"/>
    </xf>
    <xf numFmtId="0" fontId="87" fillId="7" borderId="0" xfId="5" applyFont="1" applyFill="1" applyAlignment="1">
      <alignment horizontal="center" vertical="center"/>
    </xf>
    <xf numFmtId="0" fontId="87" fillId="8" borderId="0" xfId="5" applyFont="1" applyFill="1"/>
    <xf numFmtId="0" fontId="89" fillId="5" borderId="0" xfId="5" applyFont="1" applyFill="1"/>
    <xf numFmtId="49" fontId="0" fillId="0" borderId="0" xfId="5" applyNumberFormat="1" applyFont="1"/>
    <xf numFmtId="0" fontId="90" fillId="9" borderId="7" xfId="5" applyFont="1" applyFill="1" applyBorder="1" applyAlignment="1">
      <alignment horizontal="left" vertical="center" wrapText="1" shrinkToFit="1"/>
    </xf>
    <xf numFmtId="0" fontId="87" fillId="6" borderId="0" xfId="5" applyFont="1" applyFill="1"/>
    <xf numFmtId="0" fontId="87" fillId="8" borderId="0" xfId="5" applyFont="1" applyFill="1" applyAlignment="1">
      <alignment horizontal="center" vertical="center"/>
    </xf>
    <xf numFmtId="0" fontId="87" fillId="5" borderId="0" xfId="5" applyFont="1" applyFill="1"/>
    <xf numFmtId="0" fontId="87" fillId="10" borderId="0" xfId="5" applyFont="1" applyFill="1" applyAlignment="1">
      <alignment horizontal="center" vertical="center"/>
    </xf>
    <xf numFmtId="0" fontId="79" fillId="0" borderId="0" xfId="5" applyAlignment="1">
      <alignment horizontal="center" vertical="center" wrapText="1"/>
    </xf>
    <xf numFmtId="0" fontId="91" fillId="0" borderId="0" xfId="9" applyFont="1" applyAlignment="1">
      <alignment horizontal="center" vertical="center"/>
    </xf>
    <xf numFmtId="0" fontId="88" fillId="4" borderId="8" xfId="5" applyFont="1" applyFill="1" applyBorder="1" applyAlignment="1">
      <alignment horizontal="center" vertical="center" wrapText="1" shrinkToFit="1"/>
    </xf>
    <xf numFmtId="0" fontId="85" fillId="0" borderId="0" xfId="87" applyFont="1"/>
    <xf numFmtId="0" fontId="1" fillId="0" borderId="0" xfId="87"/>
    <xf numFmtId="0" fontId="89" fillId="11" borderId="0" xfId="5" applyFont="1" applyFill="1"/>
    <xf numFmtId="0" fontId="87" fillId="0" borderId="0" xfId="5" applyFont="1" applyAlignment="1">
      <alignment horizontal="center" vertical="center" textRotation="90"/>
    </xf>
    <xf numFmtId="0" fontId="87" fillId="0" borderId="0" xfId="5" applyFont="1" applyAlignment="1">
      <alignment horizontal="center"/>
    </xf>
  </cellXfs>
  <cellStyles count="88">
    <cellStyle name="Lien hypertexte" xfId="9" builtinId="8"/>
    <cellStyle name="Lien hypertexte 2" xfId="3" xr:uid="{00000000-0005-0000-0000-000001000000}"/>
    <cellStyle name="Normal" xfId="0" builtinId="0"/>
    <cellStyle name="Normal 10" xfId="13" xr:uid="{00000000-0005-0000-0000-000003000000}"/>
    <cellStyle name="Normal 11" xfId="14" xr:uid="{00000000-0005-0000-0000-000004000000}"/>
    <cellStyle name="Normal 12" xfId="15" xr:uid="{00000000-0005-0000-0000-000005000000}"/>
    <cellStyle name="Normal 12 2" xfId="23" xr:uid="{8A3C1B6D-B4B3-48BF-AB16-034A20FBA0E1}"/>
    <cellStyle name="Normal 12 2 2" xfId="24" xr:uid="{FD90072D-9272-4DB9-9716-14079DEC4864}"/>
    <cellStyle name="Normal 12 2 2 2" xfId="25" xr:uid="{4469F1D6-DAE8-4970-AC84-7B323016EF56}"/>
    <cellStyle name="Normal 12 2 2 2 2" xfId="27" xr:uid="{76DF9F2D-873C-47C8-81EB-D552D96F0A8A}"/>
    <cellStyle name="Normal 12 2 2 2 3" xfId="30" xr:uid="{4CD422E1-2E78-493A-B76F-6E905A75CF94}"/>
    <cellStyle name="Normal 12 2 2 2 4" xfId="32" xr:uid="{D2ACC1AC-A8FE-49C2-AF0F-3586716C32D2}"/>
    <cellStyle name="Normal 12 2 2 2 5" xfId="34" xr:uid="{6834E6D9-00BF-4DB3-946C-4D2946C3DE32}"/>
    <cellStyle name="Normal 12 2 2 2 6" xfId="36" xr:uid="{D91F453D-9E39-4274-AF27-9F5F130140FB}"/>
    <cellStyle name="Normal 12 2 2 2 7" xfId="38" xr:uid="{F6DF243F-706F-409A-82BD-6892F6C05C1D}"/>
    <cellStyle name="Normal 13" xfId="16" xr:uid="{00000000-0005-0000-0000-000006000000}"/>
    <cellStyle name="Normal 13 2" xfId="22" xr:uid="{3B0276C3-63EB-4FFE-AE98-A87F8A52FFE3}"/>
    <cellStyle name="Normal 13 3" xfId="26" xr:uid="{38433431-CB95-45DA-8D54-7C5C705C6BF2}"/>
    <cellStyle name="Normal 13 3 2" xfId="28" xr:uid="{C0F0F981-846B-48A7-AE1A-D9F98A157F99}"/>
    <cellStyle name="Normal 13 3 2 2" xfId="31" xr:uid="{B45C2D65-8BC5-406E-861F-389BC6C4E446}"/>
    <cellStyle name="Normal 13 3 2 2 2" xfId="33" xr:uid="{95620994-1C05-4F62-BA4A-4888B0168F58}"/>
    <cellStyle name="Normal 13 3 2 2 2 2" xfId="35" xr:uid="{806F3E76-275A-4D2C-994E-E4DBA2FD5A7A}"/>
    <cellStyle name="Normal 13 3 2 2 2 2 10" xfId="46" xr:uid="{ECC491C7-9A29-4F8B-8BC4-AAA0D5B17D77}"/>
    <cellStyle name="Normal 13 3 2 2 2 2 11" xfId="47" xr:uid="{8959B052-8200-424D-A34F-3717515A7BFF}"/>
    <cellStyle name="Normal 13 3 2 2 2 2 11 2" xfId="48" xr:uid="{D4A2C784-E57A-40D2-80EA-715A44FF53C9}"/>
    <cellStyle name="Normal 13 3 2 2 2 2 11 3" xfId="49" xr:uid="{5E8913D0-5491-4327-988E-9B6ADC080458}"/>
    <cellStyle name="Normal 13 3 2 2 2 2 11 4" xfId="51" xr:uid="{A1E9FB16-BDF4-486B-A6B6-51CD959BE63A}"/>
    <cellStyle name="Normal 13 3 2 2 2 2 11 4 2" xfId="53" xr:uid="{2DCF1F2C-85B4-4151-B586-B4CA111EE77C}"/>
    <cellStyle name="Normal 13 3 2 2 2 2 11 4 2 2" xfId="55" xr:uid="{2841DB44-7177-4064-B2BA-60629D6D9421}"/>
    <cellStyle name="Normal 13 3 2 2 2 2 11 4 2 2 2" xfId="57" xr:uid="{BC040B29-E654-483B-9417-FCE0E7B9896E}"/>
    <cellStyle name="Normal 13 3 2 2 2 2 11 4 2 2 3" xfId="59" xr:uid="{B5FC2920-72CE-46A0-A7A4-B2694D250176}"/>
    <cellStyle name="Normal 13 3 2 2 2 2 11 4 2 2 4" xfId="61" xr:uid="{C89FF59E-30FB-48BD-AA2C-7B8F89EF1BFF}"/>
    <cellStyle name="Normal 13 3 2 2 2 2 11 4 2 2 4 2" xfId="63" xr:uid="{76636F2D-CB3F-4599-BCBB-E11905B96C12}"/>
    <cellStyle name="Normal 13 3 2 2 2 2 11 4 2 2 4 2 2" xfId="65" xr:uid="{84D24ED0-0E98-4FC3-B55D-AE8E96146ABB}"/>
    <cellStyle name="Normal 13 3 2 2 2 2 11 4 2 2 4 2 2 2" xfId="67" xr:uid="{471604FC-29BE-4AA1-B0A2-DB3DB50C16F6}"/>
    <cellStyle name="Normal 13 3 2 2 2 2 11 4 2 2 4 2 2 2 2" xfId="69" xr:uid="{F940080E-8062-4FB1-83E5-AD038FA6742A}"/>
    <cellStyle name="Normal 13 3 2 2 2 2 11 4 2 2 4 2 2 2 2 2" xfId="76" xr:uid="{B4B786FF-28AE-4C0D-9E82-E284CEC9B6CF}"/>
    <cellStyle name="Normal 13 3 2 2 2 2 11 4 2 2 4 2 2 2 2 3" xfId="77" xr:uid="{0CEB9EFC-9369-4EC6-BBA9-22624D42C774}"/>
    <cellStyle name="Normal 13 3 2 2 2 2 11 4 2 2 4 2 2 3" xfId="68" xr:uid="{789CB854-5086-4939-8CB5-F0B0FA8EAC51}"/>
    <cellStyle name="Normal 13 3 2 2 2 2 11 4 2 2 4 2 2 4" xfId="70" xr:uid="{A5EADAF3-CFD0-417D-ACFB-0B6791964B43}"/>
    <cellStyle name="Normal 13 3 2 2 2 2 11 4 2 2 4 2 2 4 2" xfId="72" xr:uid="{6870BCF1-AA15-454D-8258-8A6BFF4D4503}"/>
    <cellStyle name="Normal 13 3 2 2 2 2 11 4 2 2 4 2 2 4 3" xfId="74" xr:uid="{64CCEF86-D651-472C-AECF-71325794D044}"/>
    <cellStyle name="Normal 13 3 2 2 2 2 11 4 2 2 4 2 2 4 3 2" xfId="78" xr:uid="{63225853-86C0-4249-A480-82C5627E541B}"/>
    <cellStyle name="Normal 13 3 2 2 2 2 11 4 2 2 4 2 2 4 3 2 2" xfId="79" xr:uid="{97DF6FE6-4EAF-4818-9793-59266CDC8306}"/>
    <cellStyle name="Normal 13 3 2 2 2 2 11 4 2 2 4 2 2 4 3 2 2 2" xfId="83" xr:uid="{998C64F1-EA00-462D-B3C8-C793E0BBFF8A}"/>
    <cellStyle name="Normal 13 3 2 2 2 2 11 4 2 2 4 2 2 4 3 2 2 2 2" xfId="87" xr:uid="{11A9CEEE-3AED-4790-838F-017AFE6103F4}"/>
    <cellStyle name="Normal 13 3 2 2 2 2 11 4 2 2 4 2 2 4 3 3" xfId="82" xr:uid="{A0FB039B-02FC-48E8-B26E-D335A561D8FA}"/>
    <cellStyle name="Normal 13 3 2 2 2 2 11 4 2 2 4 2 2 4 3 4" xfId="85" xr:uid="{673ADC1B-D0F8-4BDE-A69E-7BE603CEB92B}"/>
    <cellStyle name="Normal 13 3 2 2 2 2 11 4 2 2 4 2 2 4 3 4 2" xfId="86" xr:uid="{1E094A2C-CBBD-451A-B93C-A3B1495DBA04}"/>
    <cellStyle name="Normal 13 3 2 2 2 2 2" xfId="37" xr:uid="{9CAA0D97-1768-41D8-B85A-F190C074DD06}"/>
    <cellStyle name="Normal 13 3 2 2 2 2 3" xfId="39" xr:uid="{248E725A-5008-4835-B66B-E2B56DB776E9}"/>
    <cellStyle name="Normal 13 3 2 2 2 2 4" xfId="40" xr:uid="{2D53DF5E-A521-4FFF-A8AB-6071CE0D1534}"/>
    <cellStyle name="Normal 13 3 2 2 2 2 5" xfId="41" xr:uid="{8E4E24F6-13BD-40F7-91AF-5BF8B6335628}"/>
    <cellStyle name="Normal 13 3 2 2 2 2 6" xfId="42" xr:uid="{FBE4463E-D2E0-4E2C-B7AD-D225398CC8CE}"/>
    <cellStyle name="Normal 13 3 2 2 2 2 7" xfId="43" xr:uid="{016891D9-3DA8-46B9-A930-37DFE7F5F116}"/>
    <cellStyle name="Normal 13 3 2 2 2 2 8" xfId="44" xr:uid="{585A52C5-A370-4680-B071-357C81C0FC9E}"/>
    <cellStyle name="Normal 13 3 2 2 2 2 9" xfId="45" xr:uid="{FC58DD18-55B3-4B75-840A-59EB89CF99A4}"/>
    <cellStyle name="Normal 14" xfId="17" xr:uid="{00000000-0005-0000-0000-000007000000}"/>
    <cellStyle name="Normal 14 2" xfId="18" xr:uid="{00000000-0005-0000-0000-000008000000}"/>
    <cellStyle name="Normal 14 3" xfId="19" xr:uid="{00000000-0005-0000-0000-000009000000}"/>
    <cellStyle name="Normal 14 4" xfId="20" xr:uid="{00000000-0005-0000-0000-00000A000000}"/>
    <cellStyle name="Normal 14 5" xfId="21" xr:uid="{D0E9E293-83EA-4ECB-B75B-F9056E977637}"/>
    <cellStyle name="Normal 14 5 2" xfId="29" xr:uid="{F2F61166-1F06-486E-A42E-4522B391DFC1}"/>
    <cellStyle name="Normal 14 5 2 2" xfId="50" xr:uid="{5E689413-7FCE-4B69-9A8D-207D3F669B4F}"/>
    <cellStyle name="Normal 14 5 2 3" xfId="52" xr:uid="{F3A429C0-E2FF-4906-91EE-B3DA170C6861}"/>
    <cellStyle name="Normal 14 5 2 4" xfId="54" xr:uid="{5BE168D1-1CC8-40AB-AD6E-1349BC551804}"/>
    <cellStyle name="Normal 14 5 2 4 2" xfId="56" xr:uid="{DD69EDFE-2BB3-46D4-B062-CC5B72E629BD}"/>
    <cellStyle name="Normal 14 5 2 4 3" xfId="58" xr:uid="{8688A856-3A0F-4650-9A22-8F08F9135905}"/>
    <cellStyle name="Normal 14 5 2 4 4" xfId="60" xr:uid="{B0501CE4-9B2D-42AF-A0DE-E8F5CA09A673}"/>
    <cellStyle name="Normal 14 5 2 4 4 2" xfId="62" xr:uid="{C02F0286-49A9-4346-9488-C1ABC2C0D729}"/>
    <cellStyle name="Normal 14 5 2 4 4 2 2" xfId="64" xr:uid="{9E18FFD9-41B3-49C3-9D4A-8790F426993F}"/>
    <cellStyle name="Normal 14 5 2 4 4 2 2 2" xfId="66" xr:uid="{4C225000-2A60-4B04-BDFF-58F9ABB690AF}"/>
    <cellStyle name="Normal 14 5 2 4 4 2 2 2 2" xfId="71" xr:uid="{655B49C5-DB4B-457E-B491-FFF5D29AB7F7}"/>
    <cellStyle name="Normal 14 5 2 4 4 2 2 2 2 2" xfId="73" xr:uid="{66E63A22-44AF-45A2-81D9-702EC870AA08}"/>
    <cellStyle name="Normal 14 5 2 4 4 2 2 2 2 2 2" xfId="75" xr:uid="{EEAD21AD-1C29-4AC6-BD20-484E7E21EEA9}"/>
    <cellStyle name="Normal 14 5 2 4 4 2 2 2 2 2 2 2" xfId="80" xr:uid="{6C6BB2AE-C27D-4275-9794-0CB697ADB545}"/>
    <cellStyle name="Normal 14 5 2 4 4 2 2 2 2 2 2 2 2" xfId="81" xr:uid="{16037454-6CEE-4A74-B2B3-EFC6912AA986}"/>
    <cellStyle name="Normal 14 5 2 4 4 2 2 2 2 2 2 2 3" xfId="84" xr:uid="{0476D279-67C9-4973-97A5-AA7783493CA8}"/>
    <cellStyle name="Normal 2" xfId="1" xr:uid="{00000000-0005-0000-0000-00000B000000}"/>
    <cellStyle name="Normal 2 2" xfId="4" xr:uid="{00000000-0005-0000-0000-00000C000000}"/>
    <cellStyle name="Normal 2 3" xfId="5" xr:uid="{00000000-0005-0000-0000-00000D000000}"/>
    <cellStyle name="Normal 3" xfId="2" xr:uid="{00000000-0005-0000-0000-00000E000000}"/>
    <cellStyle name="Normal 4" xfId="6" xr:uid="{00000000-0005-0000-0000-00000F000000}"/>
    <cellStyle name="Normal 5" xfId="7" xr:uid="{00000000-0005-0000-0000-000010000000}"/>
    <cellStyle name="Normal 6" xfId="8" xr:uid="{00000000-0005-0000-0000-000011000000}"/>
    <cellStyle name="Normal 7" xfId="10" xr:uid="{00000000-0005-0000-0000-000012000000}"/>
    <cellStyle name="Normal 8" xfId="11" xr:uid="{00000000-0005-0000-0000-000013000000}"/>
    <cellStyle name="Normal 9" xfId="12" xr:uid="{00000000-0005-0000-0000-000014000000}"/>
  </cellStyles>
  <dxfs count="58">
    <dxf>
      <font>
        <b/>
        <strike val="0"/>
        <outline val="0"/>
        <shadow val="0"/>
        <u val="none"/>
        <vertAlign val="baseline"/>
        <sz val="10"/>
        <color rgb="FF000000"/>
        <name val="Calibri"/>
        <scheme val="none"/>
      </font>
      <numFmt numFmtId="0" formatCode="General"/>
      <alignment horizontal="center" vertical="center" textRotation="0" wrapText="1" indent="0" justifyLastLine="0" shrinkToFit="1" readingOrder="0"/>
    </dxf>
    <dxf>
      <alignment vertical="center" textRotation="0" wrapText="1" indent="0" justifyLastLine="0" shrinkToFit="1" readingOrder="0"/>
    </dxf>
    <dxf>
      <alignment horizontal="center" vertical="center" textRotation="0" wrapText="1" indent="0" justifyLastLine="0" shrinkToFit="1" readingOrder="0"/>
    </dxf>
    <dxf>
      <alignment horizontal="center" vertical="center" textRotation="0" wrapText="1" indent="0" justifyLastLine="0" shrinkToFit="1" readingOrder="0"/>
    </dxf>
    <dxf>
      <alignment horizontal="center" vertical="center" textRotation="0" wrapText="1" indent="0" justifyLastLine="0" shrinkToFit="1" readingOrder="0"/>
    </dxf>
    <dxf>
      <font>
        <b/>
        <strike val="0"/>
        <outline val="0"/>
        <shadow val="0"/>
        <u val="none"/>
        <vertAlign val="baseline"/>
        <sz val="10"/>
        <color rgb="FF000000"/>
        <name val="Calibri"/>
        <scheme val="none"/>
      </font>
      <numFmt numFmtId="0" formatCode="General"/>
      <alignment horizontal="center" vertical="center" textRotation="0" wrapText="1" indent="0" justifyLastLine="0" shrinkToFit="1" readingOrder="0"/>
    </dxf>
    <dxf>
      <alignment vertical="center" textRotation="0" wrapText="1" indent="0" justifyLastLine="0" shrinkToFit="1" readingOrder="0"/>
    </dxf>
    <dxf>
      <alignment vertical="center" textRotation="0" wrapText="1" indent="0" justifyLastLine="0" shrinkToFit="1" readingOrder="0"/>
    </dxf>
    <dxf>
      <alignment horizontal="left" vertical="center" textRotation="0" wrapText="1" indent="0" justifyLastLine="0" shrinkToFit="1" readingOrder="0"/>
    </dxf>
    <dxf>
      <alignment horizontal="left" vertical="center" textRotation="0" wrapText="1" indent="0" justifyLastLine="0" shrinkToFit="1" readingOrder="0"/>
    </dxf>
    <dxf>
      <alignment horizontal="center" vertical="center" textRotation="0" wrapText="1" indent="0" justifyLastLine="0" shrinkToFit="1" readingOrder="0"/>
    </dxf>
    <dxf>
      <alignment horizontal="center" vertical="center" textRotation="0" wrapText="1" indent="0" justifyLastLine="0" shrinkToFit="1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1" indent="0" justifyLastLine="0" shrinkToFit="1" readingOrder="0"/>
    </dxf>
    <dxf>
      <font>
        <b/>
      </font>
      <alignment horizontal="center" vertical="center" textRotation="0" wrapText="1" indent="0" justifyLastLine="0" shrinkToFit="1" readingOrder="0"/>
    </dxf>
    <dxf>
      <alignment horizontal="center" vertical="center" textRotation="0" wrapText="1" indent="0" justifyLastLine="0" shrinkToFit="1" readingOrder="0"/>
    </dxf>
    <dxf>
      <alignment vertical="center" textRotation="0" wrapText="1" indent="0" justifyLastLine="0" shrinkToFit="1" readingOrder="0"/>
    </dxf>
    <dxf>
      <alignment vertical="center" textRotation="0" wrapText="1" indent="0" justifyLastLine="0" shrinkToFit="1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charset val="1"/>
        <scheme val="none"/>
      </font>
      <alignment horizontal="center" vertical="center" textRotation="0" wrapText="0" indent="0" justifyLastLine="0" shrinkToFit="0" readingOrder="0"/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theme="0"/>
      </font>
      <numFmt numFmtId="164" formatCode="0.0&quot; - CRITIQUE&quot;"/>
      <fill>
        <patternFill>
          <bgColor theme="1"/>
        </patternFill>
      </fill>
    </dxf>
    <dxf>
      <numFmt numFmtId="165" formatCode="0.0&quot; - DOMMAGEABLE&quot;"/>
      <fill>
        <patternFill>
          <bgColor rgb="FFFF0000"/>
        </patternFill>
      </fill>
    </dxf>
    <dxf>
      <numFmt numFmtId="166" formatCode="0.0&quot; - NOTABLE&quot;"/>
      <fill>
        <patternFill>
          <bgColor rgb="FFFFFF00"/>
        </patternFill>
      </fill>
    </dxf>
    <dxf>
      <numFmt numFmtId="167" formatCode="0.0&quot; - FAIBLE&quot;"/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000"/>
      <rgbColor rgb="00FF9900"/>
      <rgbColor rgb="00FF6600"/>
      <rgbColor rgb="00666699"/>
      <rgbColor rgb="00969696"/>
      <rgbColor rgb="00003366"/>
      <rgbColor rgb="0000B050"/>
      <rgbColor rgb="00003300"/>
      <rgbColor rgb="00333300"/>
      <rgbColor rgb="00993300"/>
      <rgbColor rgb="00993366"/>
      <rgbColor rgb="00333399"/>
      <rgbColor rgb="00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33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68580</xdr:colOff>
      <xdr:row>1</xdr:row>
      <xdr:rowOff>15240</xdr:rowOff>
    </xdr:from>
    <xdr:to>
      <xdr:col>3</xdr:col>
      <xdr:colOff>550545</xdr:colOff>
      <xdr:row>19</xdr:row>
      <xdr:rowOff>9525</xdr:rowOff>
    </xdr:to>
    <xdr:pic>
      <xdr:nvPicPr>
        <xdr:cNvPr id="2" name="Image 1" descr="RÃ©sultat de recherche d'images pour &quot;ironman&quot;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352" t="8127"/>
        <a:stretch/>
      </xdr:blipFill>
      <xdr:spPr bwMode="auto">
        <a:xfrm>
          <a:off x="68580" y="198120"/>
          <a:ext cx="3093720" cy="31013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3</xdr:col>
      <xdr:colOff>182048</xdr:colOff>
      <xdr:row>0</xdr:row>
      <xdr:rowOff>7435</xdr:rowOff>
    </xdr:from>
    <xdr:ext cx="6798721" cy="1050672"/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559488" y="7435"/>
          <a:ext cx="6798721" cy="1050672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fr-FR" sz="66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Broadway" panose="04040905080B02020502" pitchFamily="82" charset="0"/>
            </a:rPr>
            <a:t>Power Auditor</a:t>
          </a:r>
          <a:endParaRPr lang="fr-FR" sz="54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Broadway" panose="04040905080B02020502" pitchFamily="82" charset="0"/>
          </a:endParaRPr>
        </a:p>
      </xdr:txBody>
    </xdr:sp>
    <xdr:clientData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PowerAuditorInfo" displayName="PowerAuditorInfo" ref="E7:F16" totalsRowShown="0" headerRowDxfId="57" dataDxfId="56">
  <autoFilter ref="E7:F16" xr:uid="{00000000-0009-0000-0100-000003000000}"/>
  <tableColumns count="2">
    <tableColumn id="1" xr3:uid="{00000000-0010-0000-0000-000001000000}" name="Value" dataDxfId="55"/>
    <tableColumn id="2" xr3:uid="{00000000-0010-0000-0000-000002000000}" name="Key" dataDxfId="54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REPORT_TYPE_TBL" displayName="REPORT_TYPE_TBL" ref="C37:D41" totalsRowShown="0">
  <autoFilter ref="C37:D41" xr:uid="{00000000-0009-0000-0100-000001000000}"/>
  <tableColumns count="2">
    <tableColumn id="1" xr3:uid="{00000000-0010-0000-0100-000001000000}" name="REPORT TYPE"/>
    <tableColumn id="2" xr3:uid="{C52C247C-BFB7-447E-9B23-5B5C99B94D5E}" name="Version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3B00540-87AE-48EC-86B2-4B6B98973817}" name="Tableau2" displayName="Tableau2" ref="A1:P3" totalsRowShown="0" headerRowDxfId="17" dataDxfId="16">
  <autoFilter ref="A1:P3" xr:uid="{00000000-0009-0000-0100-000002000000}"/>
  <tableColumns count="16">
    <tableColumn id="1" xr3:uid="{0E12E0B4-3A6F-4261-8728-5C6E49A47E02}" name="Id #" dataDxfId="15"/>
    <tableColumn id="2" xr3:uid="{B8E2ECB3-8B9C-40C8-8C44-446F3BB9D94C}" name="Cible" dataDxfId="14"/>
    <tableColumn id="3" xr3:uid="{812C343A-F9F5-458E-A8AC-DD656C58D9E3}" name="Vulnérabilité" dataDxfId="13"/>
    <tableColumn id="14" xr3:uid="{A12EE778-4CDE-4266-8BAF-E22E668C9B5C}" name="Exposé sur internet" dataDxfId="12"/>
    <tableColumn id="4" xr3:uid="{4983D21A-4C1B-4EE5-AD23-B420B2531300}" name="Compte_x000a_requis" dataDxfId="11"/>
    <tableColumn id="15" xr3:uid="{82EC42BE-B1BC-42B6-8B73-233EE78B737F}" name="Catégorie" dataDxfId="10"/>
    <tableColumn id="5" xr3:uid="{40A1A218-2EC3-4BCC-9ACB-F1211DBB71E4}" name="Description" dataDxfId="9"/>
    <tableColumn id="16" xr3:uid="{8486E961-9EE6-4B5C-92AC-860ED00418F7}" name="CVSS" dataDxfId="8"/>
    <tableColumn id="6" xr3:uid="{563A39D9-1D9D-4FB7-98EA-D3A776A98C59}" name="Difficulté d'exploitation ( E )" dataDxfId="7"/>
    <tableColumn id="7" xr3:uid="{2D2AAF84-BA41-432B-AED4-34DF7D939B6D}" name="Impact ( I )" dataDxfId="6"/>
    <tableColumn id="8" xr3:uid="{6318428D-9120-4C93-8A2A-0BC15D287CD6}" name="Risque (E x I) _x000a_= ( R )" dataDxfId="5">
      <calculatedColumnFormula>IF(
AND(J2="ÉLEVÉ",I2="UTILISATEUR"), "CRITIQUE",
IF(AND(J2="NULL",I2="HACKER"), "NULL",
IF(OR(AND(J2="FAIBLE",OR(I2="HACKER",I2="TECHNICIEN",I2="UTILISATEUR")),AND(J2="NULL",OR(I2="TECHNICIEN",I2="UTILISATEUR")),AND(J2="MOYEN",I2="HACKER")), "FAIBLE",
IF(OR(AND(J2="ÉLEVÉ",OR(I2="UTILISATEUR",I2="TECHNICIEN")),AND(J2="MOYEN",I2="UTILISATEUR"), AND(J2="CRITIQUE",I2="TECHNICIEN")), "ÉLEVÉ",
"MOYEN"))))</calculatedColumnFormula>
    </tableColumn>
    <tableColumn id="9" xr3:uid="{C5B579C1-A5A1-4D37-B698-032AD2AF2BC2}" name="Recommandation" dataDxfId="4"/>
    <tableColumn id="10" xr3:uid="{01FAC424-3D80-41EA-B4B1-9FD0820BBC44}" name="Risque" dataDxfId="3"/>
    <tableColumn id="11" xr3:uid="{D9AA8A23-5209-4E0F-81F7-FBFF5934EEFB}" name="Type de _x000a_correctif" dataDxfId="2"/>
    <tableColumn id="12" xr3:uid="{D901E0A6-BA83-43CE-BABD-77EB7450EDC6}" name="Difficulté de mise_x000a_ en place ( D )" dataDxfId="1"/>
    <tableColumn id="13" xr3:uid="{3F8C7FAE-806A-4B39-82A5-70D458CDF9B5}" name="Priorité ( P )" dataDxfId="0">
      <calculatedColumnFormula>IF(
OR(AND(K2="CRITIQUE",OR(O2="FAIBLE",O2="MOYENNE")), AND(K2="ÉLEVÉ",O2="FAIBLE") ), "URGENTE",
IF(OR(AND(K2="FAIBLE",OR(O2="MOYENNE",O2="ELEVEE",O2="TRES DIFFICILE",)),AND(K2="MOYEN",O2="TRES DIFFICILE"),AND(K2="NULL")), "BASSE",
IF(OR(AND(K2="ÉLEVÉ",OR(O2="MOYENNE",O2="ELEVEE")),AND(K2="MOYEN",O2="FAIBLE"), AND(K2="CRITIQUE",O2="ELEVEE")), "ELEVEE",
"MOYENNE")))</calculatedColumnFormula>
    </tableColumn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00BA0EC-3F51-48B3-AEA0-27BC7114AB92}" name="Tableau35" displayName="Tableau35" ref="AN42:AP52" totalsRowShown="0">
  <autoFilter ref="AN42:AP52" xr:uid="{A75F55A5-A1A7-4B0F-AE26-5D77B050010B}"/>
  <tableColumns count="3">
    <tableColumn id="1" xr3:uid="{E663ACAA-28DF-4607-94C9-EC4178C7C021}" name="TOP TEN OWASP FR"/>
    <tableColumn id="2" xr3:uid="{FAA01D1A-4A8E-4B8A-BEDE-3E3EC14432E0}" name="LEVEL" dataCellStyle="Normal 2 3"/>
    <tableColumn id="3" xr3:uid="{1885BE8F-26DF-4456-9838-D3C5047C91CB}" name="VERSION" dataCellStyle="Normal 2 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7" Type="http://schemas.openxmlformats.org/officeDocument/2006/relationships/comments" Target="../comments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www.poney.club/" TargetMode="External"/><Relationship Id="rId6" Type="http://schemas.openxmlformats.org/officeDocument/2006/relationships/table" Target="../tables/table2.xml"/><Relationship Id="rId5" Type="http://schemas.openxmlformats.org/officeDocument/2006/relationships/table" Target="../tables/table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www.first.org/cvss/calculator/3.0" TargetMode="External"/><Relationship Id="rId4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owerAuditor"/>
  <dimension ref="A1:AO70"/>
  <sheetViews>
    <sheetView workbookViewId="0">
      <selection activeCell="F15" sqref="F15"/>
    </sheetView>
  </sheetViews>
  <sheetFormatPr baseColWidth="10" defaultRowHeight="14.4" x14ac:dyDescent="0.3"/>
  <cols>
    <col min="3" max="3" width="14.6640625" customWidth="1"/>
    <col min="6" max="6" width="34.44140625" customWidth="1"/>
  </cols>
  <sheetData>
    <row r="1" spans="1:26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x14ac:dyDescent="0.3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x14ac:dyDescent="0.3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x14ac:dyDescent="0.3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idden="1" x14ac:dyDescent="0.3">
      <c r="A7" s="1"/>
      <c r="B7" s="1"/>
      <c r="C7" s="1"/>
      <c r="D7" s="1"/>
      <c r="E7" s="1" t="s">
        <v>7</v>
      </c>
      <c r="F7" s="1" t="s">
        <v>8</v>
      </c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x14ac:dyDescent="0.3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x14ac:dyDescent="0.3">
      <c r="A9" s="1"/>
      <c r="B9" s="1"/>
      <c r="C9" s="1"/>
      <c r="D9" s="1"/>
      <c r="E9" s="6" t="s">
        <v>1</v>
      </c>
      <c r="F9" s="2" t="s">
        <v>14</v>
      </c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x14ac:dyDescent="0.3">
      <c r="A10" s="1"/>
      <c r="B10" s="1"/>
      <c r="C10" s="1"/>
      <c r="D10" s="1"/>
      <c r="E10" s="7" t="s">
        <v>0</v>
      </c>
      <c r="F10" s="4" t="s">
        <v>16</v>
      </c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x14ac:dyDescent="0.3">
      <c r="A11" s="1"/>
      <c r="B11" s="1"/>
      <c r="C11" s="1"/>
      <c r="D11" s="1"/>
      <c r="E11" s="7" t="s">
        <v>2</v>
      </c>
      <c r="F11" s="4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x14ac:dyDescent="0.3">
      <c r="A12" s="1"/>
      <c r="B12" s="1"/>
      <c r="C12" s="1"/>
      <c r="D12" s="1"/>
      <c r="E12" s="7" t="s">
        <v>3</v>
      </c>
      <c r="F12" s="4" t="s">
        <v>10</v>
      </c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x14ac:dyDescent="0.3">
      <c r="A13" s="1"/>
      <c r="B13" s="1"/>
      <c r="C13" s="1"/>
      <c r="D13" s="1"/>
      <c r="E13" s="7" t="s">
        <v>4</v>
      </c>
      <c r="F13" s="4" t="s">
        <v>11</v>
      </c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x14ac:dyDescent="0.3">
      <c r="A14" s="1"/>
      <c r="B14" s="1"/>
      <c r="C14" s="1"/>
      <c r="D14" s="1"/>
      <c r="E14" s="7" t="s">
        <v>13</v>
      </c>
      <c r="F14" s="5" t="s">
        <v>12</v>
      </c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x14ac:dyDescent="0.3">
      <c r="A15" s="1"/>
      <c r="B15" s="1"/>
      <c r="C15" s="1"/>
      <c r="D15" s="1"/>
      <c r="E15" s="7" t="s">
        <v>6</v>
      </c>
      <c r="F15" s="3" t="s">
        <v>74</v>
      </c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x14ac:dyDescent="0.3">
      <c r="A16" s="1"/>
      <c r="B16" s="1"/>
      <c r="C16" s="1"/>
      <c r="D16" s="1"/>
      <c r="E16" s="8" t="s">
        <v>5</v>
      </c>
      <c r="F16" s="10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x14ac:dyDescent="0.3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x14ac:dyDescent="0.3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x14ac:dyDescent="0.3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x14ac:dyDescent="0.3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x14ac:dyDescent="0.3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x14ac:dyDescent="0.3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x14ac:dyDescent="0.3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x14ac:dyDescent="0.3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x14ac:dyDescent="0.3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x14ac:dyDescent="0.3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x14ac:dyDescent="0.3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 x14ac:dyDescent="0.3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x14ac:dyDescent="0.3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 x14ac:dyDescent="0.3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x14ac:dyDescent="0.3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x14ac:dyDescent="0.3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41" x14ac:dyDescent="0.3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41" x14ac:dyDescent="0.3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41" x14ac:dyDescent="0.3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41" x14ac:dyDescent="0.3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41" hidden="1" x14ac:dyDescent="0.3">
      <c r="A37" s="1"/>
      <c r="B37" s="1"/>
      <c r="C37" t="s">
        <v>9</v>
      </c>
      <c r="D37" t="s">
        <v>2</v>
      </c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41" hidden="1" x14ac:dyDescent="0.3">
      <c r="A38" s="1"/>
      <c r="B38" s="1"/>
      <c r="D38" s="9" t="s">
        <v>84</v>
      </c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M38" t="s">
        <v>15</v>
      </c>
    </row>
    <row r="39" spans="1:41" hidden="1" x14ac:dyDescent="0.3">
      <c r="A39" s="1"/>
      <c r="B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N39" t="s">
        <v>17</v>
      </c>
    </row>
    <row r="40" spans="1:41" hidden="1" x14ac:dyDescent="0.3">
      <c r="A40" s="1"/>
      <c r="B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O40" t="s">
        <v>17</v>
      </c>
    </row>
    <row r="41" spans="1:41" hidden="1" x14ac:dyDescent="0.3">
      <c r="A41" s="1"/>
      <c r="B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41" x14ac:dyDescent="0.3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41" x14ac:dyDescent="0.3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41" x14ac:dyDescent="0.3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41" x14ac:dyDescent="0.3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41" x14ac:dyDescent="0.3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41" x14ac:dyDescent="0.3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41" x14ac:dyDescent="0.3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x14ac:dyDescent="0.3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x14ac:dyDescent="0.3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x14ac:dyDescent="0.3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x14ac:dyDescent="0.3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x14ac:dyDescent="0.3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 x14ac:dyDescent="0.3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 x14ac:dyDescent="0.3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 x14ac:dyDescent="0.3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x14ac:dyDescent="0.3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x14ac:dyDescent="0.3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x14ac:dyDescent="0.3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x14ac:dyDescent="0.3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x14ac:dyDescent="0.3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x14ac:dyDescent="0.3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x14ac:dyDescent="0.3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x14ac:dyDescent="0.3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x14ac:dyDescent="0.3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 x14ac:dyDescent="0.3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 x14ac:dyDescent="0.3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 x14ac:dyDescent="0.3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</sheetData>
  <dataValidations count="2">
    <dataValidation type="list" errorStyle="warning" allowBlank="1" showInputMessage="1" showErrorMessage="1" errorTitle="Invalid template report" error="Invalid template report" promptTitle="Template" prompt="Select a report template" sqref="F15" xr:uid="{00000000-0002-0000-0000-000001000000}">
      <formula1>REPORT_TYPE_LIST</formula1>
    </dataValidation>
    <dataValidation type="list" allowBlank="1" showInputMessage="1" showErrorMessage="1" sqref="F16" xr:uid="{00000000-0002-0000-0000-000002000000}">
      <formula1>LEVEL_LIST</formula1>
    </dataValidation>
  </dataValidations>
  <hyperlinks>
    <hyperlink ref="F14" r:id="rId1" xr:uid="{00000000-0004-0000-0000-000000000000}"/>
  </hyperlinks>
  <pageMargins left="0.7" right="0.7" top="0.75" bottom="0.75" header="0.3" footer="0.3"/>
  <pageSetup paperSize="9" orientation="portrait" horizontalDpi="4294967293" r:id="rId2"/>
  <drawing r:id="rId3"/>
  <legacyDrawing r:id="rId4"/>
  <tableParts count="2">
    <tablePart r:id="rId5"/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16CABA-EC69-4153-BCB0-A7583FF25443}">
  <sheetPr codeName="RT_CASA_TI_v1"/>
  <dimension ref="A1:AP55"/>
  <sheetViews>
    <sheetView tabSelected="1" zoomScale="70" zoomScaleNormal="70" workbookViewId="0">
      <pane ySplit="1" topLeftCell="A2" activePane="bottomLeft" state="frozen"/>
      <selection pane="bottomLeft" activeCell="H6" sqref="H6"/>
    </sheetView>
  </sheetViews>
  <sheetFormatPr baseColWidth="10" defaultRowHeight="14.4" x14ac:dyDescent="0.3"/>
  <cols>
    <col min="1" max="1" width="4.6640625" style="13" customWidth="1"/>
    <col min="2" max="2" width="30.6640625" style="13" customWidth="1"/>
    <col min="3" max="3" width="36.44140625" style="13" customWidth="1"/>
    <col min="4" max="4" width="17" style="13" customWidth="1"/>
    <col min="5" max="5" width="11.5546875" style="13" customWidth="1"/>
    <col min="6" max="6" width="36.77734375" style="13" customWidth="1"/>
    <col min="7" max="7" width="30.6640625" style="13" customWidth="1"/>
    <col min="8" max="8" width="39" style="13" customWidth="1"/>
    <col min="9" max="10" width="20.6640625" style="13" customWidth="1"/>
    <col min="11" max="11" width="18.21875" style="13" bestFit="1" customWidth="1"/>
    <col min="12" max="12" width="30.6640625" style="13" customWidth="1"/>
    <col min="13" max="13" width="22.88671875" style="13" customWidth="1"/>
    <col min="14" max="14" width="14.44140625" style="13" customWidth="1"/>
    <col min="15" max="16" width="20.6640625" style="13" customWidth="1"/>
    <col min="17" max="25" width="11.5546875" style="13"/>
    <col min="26" max="26" width="13.5546875" style="13" customWidth="1"/>
    <col min="27" max="32" width="11.5546875" style="13" hidden="1" customWidth="1"/>
    <col min="33" max="33" width="17.21875" style="13" hidden="1" customWidth="1"/>
    <col min="34" max="40" width="11.5546875" style="13" hidden="1" customWidth="1"/>
    <col min="41" max="41" width="11.88671875" style="13" hidden="1" customWidth="1"/>
    <col min="42" max="42" width="11.5546875" style="13" hidden="1" customWidth="1"/>
    <col min="43" max="43" width="0" style="13" hidden="1" customWidth="1"/>
    <col min="44" max="16384" width="11.5546875" style="13"/>
  </cols>
  <sheetData>
    <row r="1" spans="1:16" ht="28.8" x14ac:dyDescent="0.3">
      <c r="A1" s="11" t="s">
        <v>18</v>
      </c>
      <c r="B1" s="11" t="s">
        <v>19</v>
      </c>
      <c r="C1" s="11" t="s">
        <v>20</v>
      </c>
      <c r="D1" s="12" t="s">
        <v>75</v>
      </c>
      <c r="E1" s="12" t="s">
        <v>21</v>
      </c>
      <c r="F1" s="11" t="s">
        <v>22</v>
      </c>
      <c r="G1" s="11" t="s">
        <v>23</v>
      </c>
      <c r="H1" s="11" t="s">
        <v>76</v>
      </c>
      <c r="I1" s="12" t="s">
        <v>24</v>
      </c>
      <c r="J1" s="11" t="s">
        <v>25</v>
      </c>
      <c r="K1" s="12" t="s">
        <v>26</v>
      </c>
      <c r="L1" s="11" t="s">
        <v>27</v>
      </c>
      <c r="M1" s="11" t="s">
        <v>28</v>
      </c>
      <c r="N1" s="12" t="s">
        <v>29</v>
      </c>
      <c r="O1" s="12" t="s">
        <v>30</v>
      </c>
      <c r="P1" s="11" t="s">
        <v>31</v>
      </c>
    </row>
    <row r="2" spans="1:16" hidden="1" x14ac:dyDescent="0.3">
      <c r="A2" s="14" t="s">
        <v>32</v>
      </c>
      <c r="B2" s="14" t="s">
        <v>33</v>
      </c>
      <c r="C2" s="14" t="s">
        <v>34</v>
      </c>
      <c r="D2" s="14" t="s">
        <v>77</v>
      </c>
      <c r="E2" s="14" t="s">
        <v>35</v>
      </c>
      <c r="F2" s="14" t="s">
        <v>36</v>
      </c>
      <c r="G2" s="14" t="s">
        <v>37</v>
      </c>
      <c r="H2" s="14" t="s">
        <v>37</v>
      </c>
      <c r="I2" s="14" t="s">
        <v>38</v>
      </c>
      <c r="J2" s="14" t="s">
        <v>39</v>
      </c>
      <c r="K2" s="14" t="s">
        <v>40</v>
      </c>
      <c r="L2" s="14" t="s">
        <v>41</v>
      </c>
      <c r="M2" s="14" t="s">
        <v>42</v>
      </c>
      <c r="N2" s="14" t="s">
        <v>43</v>
      </c>
      <c r="O2" s="14" t="s">
        <v>44</v>
      </c>
      <c r="P2" s="14" t="s">
        <v>45</v>
      </c>
    </row>
    <row r="3" spans="1:16" x14ac:dyDescent="0.3">
      <c r="A3" s="14"/>
      <c r="B3" s="31"/>
      <c r="C3" s="15"/>
      <c r="D3" s="14" t="s">
        <v>78</v>
      </c>
      <c r="E3" s="14" t="s">
        <v>79</v>
      </c>
      <c r="F3" s="16"/>
      <c r="G3" s="17"/>
      <c r="H3" s="32">
        <v>0</v>
      </c>
      <c r="I3" s="33" t="s">
        <v>80</v>
      </c>
      <c r="J3" s="33" t="s">
        <v>81</v>
      </c>
      <c r="K3" s="33" t="str">
        <f ca="1">INDIRECT(CONCATENATE(ADDRESS(CELL("ligne",NES_v1_matrix_Risque)+INDIRECT(CONCATENATE(ADDRESS(CELL("ligne",NES_v1_matrix_EI) - LEFT(Tableau2[[#This Row],[Impact ( I )]],1),CELL("colonne",NES_v1_matrix_EI) + LEFT(Tableau2[[#This Row],[Difficulté d''exploitation ( E )]],1)))),CELL("colonne",NES_v1_matrix_Risque))))</f>
        <v>3 - DOMMAGEABLE</v>
      </c>
      <c r="L3" s="14"/>
      <c r="M3" s="14"/>
      <c r="N3" s="14"/>
      <c r="O3" s="33" t="s">
        <v>66</v>
      </c>
      <c r="P3" s="33" t="str">
        <f ca="1">INDIRECT(CONCATENATE(ADDRESS(CELL("ligne",NES_v1_matrix_Priorité)+INDIRECT(CONCATENATE(ADDRESS(CELL("ligne",NES_v1_matrix_DR) - LEFT(Tableau2[[#This Row],[Risque (E x I) 
= ( R )]],1),CELL("colonne",NES_v1_matrix_DR) + LEFT(Tableau2[[#This Row],[Difficulté de mise
 en place ( D )]],1)))),CELL("colonne",NES_v1_matrix_Priorité))))</f>
        <v>4 - IMMEDIATE</v>
      </c>
    </row>
    <row r="42" spans="27:42" x14ac:dyDescent="0.3">
      <c r="AA42" s="18"/>
      <c r="AB42" s="18"/>
      <c r="AC42" s="18"/>
      <c r="AD42" s="18"/>
      <c r="AE42" s="18"/>
      <c r="AF42" s="18"/>
      <c r="AG42" s="18" t="s">
        <v>47</v>
      </c>
      <c r="AH42" s="18"/>
      <c r="AI42" s="18"/>
      <c r="AJ42" s="18"/>
      <c r="AK42" s="18"/>
      <c r="AL42" s="18"/>
      <c r="AN42" s="34" t="s">
        <v>48</v>
      </c>
      <c r="AO42" s="34" t="s">
        <v>49</v>
      </c>
      <c r="AP42" s="19" t="s">
        <v>50</v>
      </c>
    </row>
    <row r="43" spans="27:42" x14ac:dyDescent="0.3">
      <c r="AA43" s="37" t="s">
        <v>51</v>
      </c>
      <c r="AB43" s="20">
        <v>4</v>
      </c>
      <c r="AC43" s="20">
        <v>4</v>
      </c>
      <c r="AD43" s="21">
        <v>3</v>
      </c>
      <c r="AE43" s="22">
        <v>2</v>
      </c>
      <c r="AF43" s="18"/>
      <c r="AG43" s="23" t="s">
        <v>52</v>
      </c>
      <c r="AH43" s="18"/>
      <c r="AI43" s="18"/>
      <c r="AJ43" s="18"/>
      <c r="AK43" s="18"/>
      <c r="AL43" s="18"/>
      <c r="AN43" s="35" t="s">
        <v>53</v>
      </c>
      <c r="AO43" s="24" t="s">
        <v>46</v>
      </c>
      <c r="AP43" s="25" t="s">
        <v>84</v>
      </c>
    </row>
    <row r="44" spans="27:42" x14ac:dyDescent="0.3">
      <c r="AA44" s="37"/>
      <c r="AB44" s="20">
        <v>4</v>
      </c>
      <c r="AC44" s="21">
        <v>3</v>
      </c>
      <c r="AD44" s="21">
        <v>3</v>
      </c>
      <c r="AE44" s="22">
        <v>2</v>
      </c>
      <c r="AF44" s="18"/>
      <c r="AG44" s="26" t="s">
        <v>54</v>
      </c>
      <c r="AH44" s="18"/>
      <c r="AI44" s="18"/>
      <c r="AJ44" s="18"/>
      <c r="AK44" s="18"/>
      <c r="AL44" s="18"/>
      <c r="AN44" s="35" t="s">
        <v>55</v>
      </c>
      <c r="AO44" s="27" t="s">
        <v>81</v>
      </c>
    </row>
    <row r="45" spans="27:42" x14ac:dyDescent="0.3">
      <c r="AA45" s="37"/>
      <c r="AB45" s="21">
        <v>3</v>
      </c>
      <c r="AC45" s="22">
        <v>2</v>
      </c>
      <c r="AD45" s="22">
        <v>2</v>
      </c>
      <c r="AE45" s="28">
        <v>1</v>
      </c>
      <c r="AF45" s="18"/>
      <c r="AG45" s="27" t="s">
        <v>56</v>
      </c>
      <c r="AH45" s="18"/>
      <c r="AI45" s="18"/>
      <c r="AJ45" s="18"/>
      <c r="AK45" s="18"/>
      <c r="AL45" s="18"/>
      <c r="AN45" s="35" t="s">
        <v>57</v>
      </c>
      <c r="AO45" s="26" t="s">
        <v>82</v>
      </c>
    </row>
    <row r="46" spans="27:42" x14ac:dyDescent="0.3">
      <c r="AA46" s="37"/>
      <c r="AB46" s="22">
        <v>2</v>
      </c>
      <c r="AC46" s="28">
        <v>1</v>
      </c>
      <c r="AD46" s="28">
        <v>1</v>
      </c>
      <c r="AE46" s="28">
        <v>1</v>
      </c>
      <c r="AF46" s="18"/>
      <c r="AG46" s="29" t="s">
        <v>58</v>
      </c>
      <c r="AH46" s="18"/>
      <c r="AI46" s="18"/>
      <c r="AJ46" s="18"/>
      <c r="AK46" s="18"/>
      <c r="AL46" s="18"/>
      <c r="AN46" s="35" t="s">
        <v>59</v>
      </c>
      <c r="AO46" s="23" t="s">
        <v>83</v>
      </c>
    </row>
    <row r="47" spans="27:42" x14ac:dyDescent="0.3">
      <c r="AA47" s="18" t="s">
        <v>60</v>
      </c>
      <c r="AB47" s="38" t="s">
        <v>61</v>
      </c>
      <c r="AC47" s="38"/>
      <c r="AD47" s="38"/>
      <c r="AE47" s="38"/>
      <c r="AF47" s="18"/>
      <c r="AG47" s="18"/>
      <c r="AH47" s="18"/>
      <c r="AI47" s="18"/>
      <c r="AJ47" s="18"/>
      <c r="AK47" s="18"/>
      <c r="AL47" s="18"/>
      <c r="AN47" s="35" t="s">
        <v>62</v>
      </c>
    </row>
    <row r="48" spans="27:42" x14ac:dyDescent="0.3">
      <c r="AA48" s="18"/>
      <c r="AB48" s="18"/>
      <c r="AC48" s="18"/>
      <c r="AD48" s="18"/>
      <c r="AE48" s="18"/>
      <c r="AF48" s="18"/>
      <c r="AG48" s="18"/>
      <c r="AH48" s="18"/>
      <c r="AI48" s="18"/>
      <c r="AJ48" s="18"/>
      <c r="AK48" s="18"/>
      <c r="AL48" s="18"/>
      <c r="AN48" s="35" t="s">
        <v>63</v>
      </c>
    </row>
    <row r="49" spans="27:40" x14ac:dyDescent="0.3">
      <c r="AA49" s="18"/>
      <c r="AB49" s="18"/>
      <c r="AC49" s="18"/>
      <c r="AD49" s="18"/>
      <c r="AE49" s="18"/>
      <c r="AF49" s="18"/>
      <c r="AG49" s="18" t="s">
        <v>28</v>
      </c>
      <c r="AH49" s="18"/>
      <c r="AI49" s="18"/>
      <c r="AJ49" s="18"/>
      <c r="AK49" s="18"/>
      <c r="AL49" s="18"/>
      <c r="AN49" s="35" t="s">
        <v>64</v>
      </c>
    </row>
    <row r="50" spans="27:40" x14ac:dyDescent="0.3">
      <c r="AA50" s="37" t="s">
        <v>65</v>
      </c>
      <c r="AB50" s="30">
        <v>2</v>
      </c>
      <c r="AC50" s="30">
        <v>3</v>
      </c>
      <c r="AD50" s="30">
        <v>4</v>
      </c>
      <c r="AE50" s="18"/>
      <c r="AF50" s="18"/>
      <c r="AG50" s="23" t="s">
        <v>66</v>
      </c>
      <c r="AH50" s="18"/>
      <c r="AI50" s="18"/>
      <c r="AJ50" s="18"/>
      <c r="AK50" s="18"/>
      <c r="AL50" s="18"/>
      <c r="AN50" s="35" t="s">
        <v>67</v>
      </c>
    </row>
    <row r="51" spans="27:40" x14ac:dyDescent="0.3">
      <c r="AA51" s="37"/>
      <c r="AB51" s="30">
        <v>1</v>
      </c>
      <c r="AC51" s="30">
        <v>2</v>
      </c>
      <c r="AD51" s="30">
        <v>3</v>
      </c>
      <c r="AE51" s="18"/>
      <c r="AF51" s="18"/>
      <c r="AG51" s="26" t="s">
        <v>68</v>
      </c>
      <c r="AH51" s="18"/>
      <c r="AI51" s="18"/>
      <c r="AJ51" s="18"/>
      <c r="AK51" s="18"/>
      <c r="AL51" s="18"/>
      <c r="AN51" s="35" t="s">
        <v>69</v>
      </c>
    </row>
    <row r="52" spans="27:40" x14ac:dyDescent="0.3">
      <c r="AA52" s="37"/>
      <c r="AB52" s="30">
        <v>1</v>
      </c>
      <c r="AC52" s="30">
        <v>1</v>
      </c>
      <c r="AD52" s="30">
        <v>1</v>
      </c>
      <c r="AE52" s="18"/>
      <c r="AF52" s="18"/>
      <c r="AG52" s="29" t="s">
        <v>70</v>
      </c>
      <c r="AH52" s="18"/>
      <c r="AI52" s="18"/>
      <c r="AJ52" s="18"/>
      <c r="AK52" s="18"/>
      <c r="AL52" s="18"/>
      <c r="AN52" s="35" t="s">
        <v>71</v>
      </c>
    </row>
    <row r="53" spans="27:40" x14ac:dyDescent="0.3">
      <c r="AA53" s="37"/>
      <c r="AB53" s="30">
        <v>1</v>
      </c>
      <c r="AC53" s="30">
        <v>1</v>
      </c>
      <c r="AD53" s="30">
        <v>1</v>
      </c>
      <c r="AE53" s="18"/>
      <c r="AF53" s="18"/>
      <c r="AG53" s="36" t="s">
        <v>46</v>
      </c>
      <c r="AH53" s="18"/>
      <c r="AI53" s="18"/>
      <c r="AJ53" s="18"/>
      <c r="AK53" s="18"/>
      <c r="AL53" s="18"/>
    </row>
    <row r="54" spans="27:40" x14ac:dyDescent="0.3">
      <c r="AA54" s="18" t="s">
        <v>72</v>
      </c>
      <c r="AB54" s="38" t="s">
        <v>73</v>
      </c>
      <c r="AC54" s="38"/>
      <c r="AD54" s="38"/>
      <c r="AE54" s="38"/>
      <c r="AF54" s="18"/>
      <c r="AG54" s="18"/>
      <c r="AH54" s="18"/>
      <c r="AI54" s="18"/>
      <c r="AJ54" s="18"/>
      <c r="AK54" s="18"/>
      <c r="AL54" s="18"/>
    </row>
    <row r="55" spans="27:40" x14ac:dyDescent="0.3">
      <c r="AI55" s="18"/>
      <c r="AJ55" s="18"/>
      <c r="AK55" s="18"/>
      <c r="AL55" s="18"/>
    </row>
  </sheetData>
  <mergeCells count="4">
    <mergeCell ref="AA43:AA46"/>
    <mergeCell ref="AB47:AE47"/>
    <mergeCell ref="AA50:AA53"/>
    <mergeCell ref="AB54:AE54"/>
  </mergeCells>
  <conditionalFormatting sqref="AB53:AC53 AB43:AE49 AE50:AE53 AB50:AD52">
    <cfRule type="cellIs" dxfId="53" priority="13" operator="equal">
      <formula>4</formula>
    </cfRule>
    <cfRule type="cellIs" dxfId="52" priority="14" operator="equal">
      <formula>3</formula>
    </cfRule>
    <cfRule type="cellIs" dxfId="51" priority="15" operator="equal">
      <formula>2</formula>
    </cfRule>
    <cfRule type="cellIs" dxfId="50" priority="16" operator="equal">
      <formula>1</formula>
    </cfRule>
  </conditionalFormatting>
  <conditionalFormatting sqref="AD53">
    <cfRule type="cellIs" dxfId="49" priority="9" operator="equal">
      <formula>4</formula>
    </cfRule>
    <cfRule type="cellIs" dxfId="48" priority="10" operator="equal">
      <formula>3</formula>
    </cfRule>
    <cfRule type="cellIs" dxfId="47" priority="11" operator="equal">
      <formula>2</formula>
    </cfRule>
    <cfRule type="cellIs" dxfId="46" priority="12" operator="equal">
      <formula>1</formula>
    </cfRule>
  </conditionalFormatting>
  <conditionalFormatting sqref="H3">
    <cfRule type="cellIs" dxfId="45" priority="1" operator="between">
      <formula>0</formula>
      <formula>2.5</formula>
    </cfRule>
    <cfRule type="cellIs" dxfId="44" priority="2" operator="between">
      <formula>2.6</formula>
      <formula>5</formula>
    </cfRule>
    <cfRule type="cellIs" dxfId="43" priority="3" operator="between">
      <formula>5.1</formula>
      <formula>7.5</formula>
    </cfRule>
    <cfRule type="cellIs" dxfId="42" priority="4" operator="greaterThanOrEqual">
      <formula>7.6</formula>
    </cfRule>
  </conditionalFormatting>
  <dataValidations count="6">
    <dataValidation type="list" allowBlank="1" showInputMessage="1" showErrorMessage="1" sqref="F3" xr:uid="{279B770C-00EA-404E-AAE4-9A345EBE912C}">
      <formula1>$AN$43:$AN$52</formula1>
    </dataValidation>
    <dataValidation type="list" allowBlank="1" showInputMessage="1" showErrorMessage="1" sqref="N3" xr:uid="{06488F27-BB20-4055-A0FC-C7AF2138167D}">
      <formula1>"Modification d'architecture,Revue de code,Configuration / Revue de code,Gestion des mises à jour,Configuration Système,Configuration Réseau,Autre"</formula1>
    </dataValidation>
    <dataValidation type="list" allowBlank="1" showInputMessage="1" showErrorMessage="1" sqref="D3:E3" xr:uid="{4B0D88ED-8992-4755-8253-2BF2F0904271}">
      <formula1>"OUI, NON,"</formula1>
    </dataValidation>
    <dataValidation type="list" allowBlank="1" showInputMessage="1" showErrorMessage="1" sqref="I3" xr:uid="{33475C89-DD72-4CAA-B748-20126F11C746}">
      <formula1>"3 - UTILISATEUR, 2 - TECHNICIEN, 1 - HACKER"</formula1>
    </dataValidation>
    <dataValidation type="list" allowBlank="1" showInputMessage="1" showErrorMessage="1" sqref="J3" xr:uid="{0355AC4C-4073-4478-B4F0-4A636BA87B4B}">
      <formula1>"4 - ÉLEVÉ,3 - MOYEN,2 - FAIBLE,1 - NULL"</formula1>
    </dataValidation>
    <dataValidation type="list" allowBlank="1" showInputMessage="1" showErrorMessage="1" sqref="O3" xr:uid="{93C89208-A5FC-4701-AD04-84A6566073CE}">
      <formula1>"4 - TRES DIFFICILE,3 - ELEVEE,2 - MOYENNE,1 - FAIBLE"</formula1>
    </dataValidation>
  </dataValidations>
  <hyperlinks>
    <hyperlink ref="H3" r:id="rId1" location="CVSS:3.0/AV:N/AC:L/PR:N/UI:N/S:U/C:N/I:N/A:N" tooltip="Score CVSS de 0.0" display="https://www.first.org/cvss/calculator/3.0 - CVSS:3.0/AV:N/AC:L/PR:N/UI:N/S:U/C:N/I:N/A:N" xr:uid="{A36452FC-D74E-4912-B836-BE3681E33FAD}"/>
  </hyperlinks>
  <pageMargins left="0.7" right="0.7" top="0.75" bottom="0.75" header="0.3" footer="0.3"/>
  <pageSetup paperSize="9" orientation="portrait" horizontalDpi="4294967295" verticalDpi="4294967295" r:id="rId2"/>
  <tableParts count="2">
    <tablePart r:id="rId3"/>
    <tablePart r:id="rId4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beginsWith" priority="35" operator="beginsWith" id="{1AAFD7DF-3E1B-48CA-A46C-295BF0D6C2C2}">
            <xm:f>LEFT(O2,LEN("1 -"))="1 -"</xm:f>
            <xm:f>"1 -"</xm:f>
            <x14:dxf>
              <fill>
                <patternFill>
                  <bgColor rgb="FF00B050"/>
                </patternFill>
              </fill>
            </x14:dxf>
          </x14:cfRule>
          <x14:cfRule type="beginsWith" priority="36" operator="beginsWith" id="{20E2A0B9-E62B-4D95-886B-66BC366FA526}">
            <xm:f>LEFT(O2,LEN("2 -"))="2 -"</xm:f>
            <xm:f>"2 -"</xm:f>
            <x14:dxf>
              <fill>
                <patternFill>
                  <bgColor rgb="FFFFFF00"/>
                </patternFill>
              </fill>
            </x14:dxf>
          </x14:cfRule>
          <x14:cfRule type="beginsWith" priority="37" operator="beginsWith" id="{D5AB4A13-3E5C-4879-9D8E-37E0C8C7785B}">
            <xm:f>LEFT(O2,LEN("3 -"))="3 -"</xm:f>
            <xm:f>"3 -"</xm:f>
            <x14:dxf>
              <fill>
                <patternFill>
                  <bgColor rgb="FFFFC000"/>
                </patternFill>
              </fill>
            </x14:dxf>
          </x14:cfRule>
          <x14:cfRule type="beginsWith" priority="38" operator="beginsWith" id="{E8F607DE-FC6E-4A5E-8DE9-5BDBA2CC3672}">
            <xm:f>LEFT(O2,LEN("4 -"))="4 -"</xm:f>
            <xm:f>"4 -"</xm:f>
            <x14:dxf>
              <fill>
                <patternFill>
                  <bgColor rgb="FFFF0000"/>
                </patternFill>
              </fill>
            </x14:dxf>
          </x14:cfRule>
          <xm:sqref>O2:P2</xm:sqref>
        </x14:conditionalFormatting>
        <x14:conditionalFormatting xmlns:xm="http://schemas.microsoft.com/office/excel/2006/main">
          <x14:cfRule type="beginsWith" priority="29" operator="beginsWith" id="{BF405274-AF7C-4B5D-BE95-283EF0D4037A}">
            <xm:f>LEFT(I3,LEN("1 -"))="1 -"</xm:f>
            <xm:f>"1 -"</xm:f>
            <x14:dxf>
              <fill>
                <patternFill>
                  <bgColor rgb="FF00B050"/>
                </patternFill>
              </fill>
            </x14:dxf>
          </x14:cfRule>
          <x14:cfRule type="beginsWith" priority="30" operator="beginsWith" id="{D88DEFED-280E-49DA-940C-63545F492E59}">
            <xm:f>LEFT(I3,LEN("2 -"))="2 -"</xm:f>
            <xm:f>"2 -"</xm:f>
            <x14:dxf>
              <fill>
                <patternFill>
                  <bgColor rgb="FFFFFF00"/>
                </patternFill>
              </fill>
            </x14:dxf>
          </x14:cfRule>
          <x14:cfRule type="beginsWith" priority="31" operator="beginsWith" id="{B2C6C82F-3BFE-436D-B2DB-0DA40B685B34}">
            <xm:f>LEFT(I3,LEN("3 -"))="3 -"</xm:f>
            <xm:f>"3 -"</xm:f>
            <x14:dxf>
              <fill>
                <patternFill>
                  <bgColor rgb="FFFFC000"/>
                </patternFill>
              </fill>
            </x14:dxf>
          </x14:cfRule>
          <x14:cfRule type="beginsWith" priority="32" operator="beginsWith" id="{EB6665C8-B860-4577-BFB3-585659632681}">
            <xm:f>LEFT(I3,LEN("4 -"))="4 -"</xm:f>
            <xm:f>"4 -"</xm:f>
            <x14:dxf>
              <fill>
                <patternFill>
                  <bgColor rgb="FFFF0000"/>
                </patternFill>
              </fill>
            </x14:dxf>
          </x14:cfRule>
          <xm:sqref>I3</xm:sqref>
        </x14:conditionalFormatting>
        <x14:conditionalFormatting xmlns:xm="http://schemas.microsoft.com/office/excel/2006/main">
          <x14:cfRule type="beginsWith" priority="25" operator="beginsWith" id="{229FC332-DB49-49D7-A2BD-B1C9D16F0B7B}">
            <xm:f>LEFT(K3,LEN("1 -"))="1 -"</xm:f>
            <xm:f>"1 -"</xm:f>
            <x14:dxf>
              <fill>
                <patternFill>
                  <bgColor rgb="FF00B050"/>
                </patternFill>
              </fill>
            </x14:dxf>
          </x14:cfRule>
          <x14:cfRule type="beginsWith" priority="26" operator="beginsWith" id="{78B1D4B6-1986-4C84-8B8D-DF61BA26CCA4}">
            <xm:f>LEFT(K3,LEN("2 -"))="2 -"</xm:f>
            <xm:f>"2 -"</xm:f>
            <x14:dxf>
              <fill>
                <patternFill>
                  <bgColor rgb="FFFFFF00"/>
                </patternFill>
              </fill>
            </x14:dxf>
          </x14:cfRule>
          <x14:cfRule type="beginsWith" priority="27" operator="beginsWith" id="{58E44997-1219-4C32-A584-834BC5586CD4}">
            <xm:f>LEFT(K3,LEN("4 -"))="4 -"</xm:f>
            <xm:f>"4 -"</xm:f>
            <x14:dxf>
              <font>
                <color theme="0"/>
              </font>
              <fill>
                <patternFill>
                  <bgColor theme="1"/>
                </patternFill>
              </fill>
            </x14:dxf>
          </x14:cfRule>
          <x14:cfRule type="beginsWith" priority="28" operator="beginsWith" id="{7155BBAC-F89B-4F8C-AA23-BBE07B5409BD}">
            <xm:f>LEFT(K3,LEN("3 -"))="3 -"</xm:f>
            <xm:f>"3 -"</xm:f>
            <x14:dxf>
              <fill>
                <patternFill>
                  <bgColor rgb="FFFF0000"/>
                </patternFill>
              </fill>
            </x14:dxf>
          </x14:cfRule>
          <xm:sqref>K3</xm:sqref>
        </x14:conditionalFormatting>
        <x14:conditionalFormatting xmlns:xm="http://schemas.microsoft.com/office/excel/2006/main">
          <x14:cfRule type="beginsWith" priority="21" operator="beginsWith" id="{41A6CD55-6203-4E85-84AA-C281B8515FA0}">
            <xm:f>LEFT(O3,LEN("1 -"))="1 -"</xm:f>
            <xm:f>"1 -"</xm:f>
            <x14:dxf>
              <fill>
                <patternFill>
                  <bgColor rgb="FF00B050"/>
                </patternFill>
              </fill>
            </x14:dxf>
          </x14:cfRule>
          <x14:cfRule type="beginsWith" priority="22" operator="beginsWith" id="{B2F67C72-1633-4492-99B0-81F889A608EC}">
            <xm:f>LEFT(O3,LEN("2 -"))="2 -"</xm:f>
            <xm:f>"2 -"</xm:f>
            <x14:dxf>
              <fill>
                <patternFill>
                  <bgColor rgb="FFFFFF00"/>
                </patternFill>
              </fill>
            </x14:dxf>
          </x14:cfRule>
          <x14:cfRule type="beginsWith" priority="23" operator="beginsWith" id="{4CAA3E81-0BAF-43C2-B068-CE51CE0CBB22}">
            <xm:f>LEFT(O3,LEN("3 -"))="3 -"</xm:f>
            <xm:f>"3 -"</xm:f>
            <x14:dxf>
              <fill>
                <patternFill>
                  <bgColor rgb="FFFFC000"/>
                </patternFill>
              </fill>
            </x14:dxf>
          </x14:cfRule>
          <x14:cfRule type="beginsWith" priority="24" operator="beginsWith" id="{5395F3B9-B5A9-482B-B08E-7273B234D3D5}">
            <xm:f>LEFT(O3,LEN("4 -"))="4 -"</xm:f>
            <xm:f>"4 -"</xm:f>
            <x14:dxf>
              <fill>
                <patternFill>
                  <bgColor rgb="FFFF0000"/>
                </patternFill>
              </fill>
            </x14:dxf>
          </x14:cfRule>
          <xm:sqref>O3</xm:sqref>
        </x14:conditionalFormatting>
        <x14:conditionalFormatting xmlns:xm="http://schemas.microsoft.com/office/excel/2006/main">
          <x14:cfRule type="beginsWith" priority="17" operator="beginsWith" id="{01AE8C23-6A66-48AA-BC32-5981034A453F}">
            <xm:f>LEFT(P3,LEN("1 -"))="1 -"</xm:f>
            <xm:f>"1 -"</xm:f>
            <x14:dxf>
              <fill>
                <patternFill>
                  <bgColor rgb="FF00B050"/>
                </patternFill>
              </fill>
            </x14:dxf>
          </x14:cfRule>
          <x14:cfRule type="beginsWith" priority="18" operator="beginsWith" id="{40436A98-8544-4826-906D-2068E4D32C75}">
            <xm:f>LEFT(P3,LEN("2 -"))="2 -"</xm:f>
            <xm:f>"2 -"</xm:f>
            <x14:dxf>
              <fill>
                <patternFill>
                  <bgColor rgb="FFFFFF00"/>
                </patternFill>
              </fill>
            </x14:dxf>
          </x14:cfRule>
          <x14:cfRule type="beginsWith" priority="19" operator="beginsWith" id="{BAAE5DA5-CA67-4CDA-A54F-8033484337B7}">
            <xm:f>LEFT(P3,LEN("3 -"))="3 -"</xm:f>
            <xm:f>"3 -"</xm:f>
            <x14:dxf>
              <fill>
                <patternFill>
                  <bgColor rgb="FFFFC000"/>
                </patternFill>
              </fill>
            </x14:dxf>
          </x14:cfRule>
          <x14:cfRule type="beginsWith" priority="20" operator="beginsWith" id="{CC13B8FC-4B15-4D34-8E1B-98164E927DC6}">
            <xm:f>LEFT(P3,LEN("4 -"))="4 -"</xm:f>
            <xm:f>"4 -"</xm:f>
            <x14:dxf>
              <fill>
                <patternFill>
                  <bgColor rgb="FFFF0000"/>
                </patternFill>
              </fill>
            </x14:dxf>
          </x14:cfRule>
          <xm:sqref>P3</xm:sqref>
        </x14:conditionalFormatting>
        <x14:conditionalFormatting xmlns:xm="http://schemas.microsoft.com/office/excel/2006/main">
          <x14:cfRule type="beginsWith" priority="5" operator="beginsWith" id="{DD052BA3-5E0D-4EE9-BF73-DC9A76CEF173}">
            <xm:f>LEFT(J3,LEN("1 -"))="1 -"</xm:f>
            <xm:f>"1 -"</xm:f>
            <x14:dxf>
              <fill>
                <patternFill>
                  <bgColor rgb="FF00B050"/>
                </patternFill>
              </fill>
            </x14:dxf>
          </x14:cfRule>
          <x14:cfRule type="beginsWith" priority="6" operator="beginsWith" id="{A7E1FD3F-38C7-4351-B066-9ED2AD276A7B}">
            <xm:f>LEFT(J3,LEN("2 -"))="2 -"</xm:f>
            <xm:f>"2 -"</xm:f>
            <x14:dxf>
              <fill>
                <patternFill>
                  <bgColor rgb="FFFFFF00"/>
                </patternFill>
              </fill>
            </x14:dxf>
          </x14:cfRule>
          <x14:cfRule type="beginsWith" priority="7" operator="beginsWith" id="{9BBAC129-BB82-4CDC-8D35-E7D5089B6C3D}">
            <xm:f>LEFT(J3,LEN("3 -"))="3 -"</xm:f>
            <xm:f>"3 -"</xm:f>
            <x14:dxf>
              <fill>
                <patternFill>
                  <bgColor rgb="FFFFC000"/>
                </patternFill>
              </fill>
            </x14:dxf>
          </x14:cfRule>
          <x14:cfRule type="beginsWith" priority="8" operator="beginsWith" id="{3B64BDC4-55CC-458F-A707-ADD7841A7DCA}">
            <xm:f>LEFT(J3,LEN("4 -"))="4 -"</xm:f>
            <xm:f>"4 -"</xm:f>
            <x14:dxf>
              <fill>
                <patternFill>
                  <bgColor rgb="FFFF0000"/>
                </patternFill>
              </fill>
            </x14:dxf>
          </x14:cfRule>
          <xm:sqref>J3</xm:sqref>
        </x14:conditionalFormatting>
      </x14:conditionalFormattings>
    </ext>
  </extLst>
</worksheet>
</file>

<file path=customUI/customUI14.xml><?xml version="1.0" encoding="utf-8"?>
<!--
' PowerAuditor - A simple script to help report writing by https://github.com/1mm0rt41PC
'
' Filename: ribbon.txt
'
' This program is free software; you can redistribute it and/or modify
' it under the terms of the GNU General Public License as published by
' the Free Software Foundation; either version 2 of the License, or
' (at your option) any later version.
'
' This program is distributed in the hope that it will be useful,
' but WITHOUT ANY WARRANTY; without even the implied warranty of
' MERCHANTABILITY or FITNESS FOR A PARTICULAR PURPOSE.  See the
' GNU General Public License for more details.
'
' You should have received a copy of the GNU General Public License
' along with this program; see the file COPYING. If not, write to the
' Free Software Foundation, Inc., 675 Mass Ave, Cambridge, MA 02139, USA.
Tool: Custom UI Editor For Microsoft Office
>> https://silkyroad.developpez.com/excel/ruban/
Icons: https://bert-toolkit.com/imagemso-list.html
https://www.rondebruin.nl/win/s2/win001.htm
https://www.rondebruin.nl/win/s2/win003.htm
-->
<customUI xmlns="http://schemas.microsoft.com/office/2009/07/customui" onLoad="CustomRibbonTab.onLoad">
  <ribbon startFromScratch="false">
    <tabs>
      <tab id="PowerAuditor" label="PowerAuditor" insertBeforeQ="TabFormat">
        <group id="Reports" label="Reports" autoScale="true">
          <button id="FillExcelWithProof" label="Fill excel with proof" imageMso="TableAutoFormat" onAction="ThisWorkbook.fillExcelWithProof"/>
          <button id="ImportVulnFromDatabase" label="Import vuln from database" imageMso="TableAutoFormat" onAction="ThisWorkbook.importVulnFromDatabase"/>
          <button id="ExportExcelToWordTemplate" label="Export Excel to Word" imageMso="HappyFace" onAction="ThisWorkbook.ExportExcelToWordTemplate"/>
          <button id="GenSynthesis" label="Generate synthesis" imageMso="ChartInsert" onAction="ThisWorkbook.genSynthesis"/>
          <button id="ExportFinalStaticsDocuments" label="Generate final RA/RD/XL" imageMso="PageOrientationPortraitLandscape" size="large" onAction="ThisWorkbook.exportFinalStaticsDocuments"/>
        </group>
        <group id="TeamSync" label="TeamSync" autoScale="true">
          <button id="ExportVulnToGit" label="Export vuln to git" imageMso="FileSaveAsWebPage" size="large" onAction="ThisWorkbook.exportVulnToGit"/>
        </group>
        <group id="Dev" label="Dev" autoScale="true">
          <button id="toProd" label="Send template to prod" getEnabled="CustomRibbonTab.isDevMode" imageMso="SendStatusReport" onAction="ThisWorkbook.toProd"/>
        </group>
        <group id="Version" label="Version" autoScale="true">
          <editBox id="PowerAuditorVersion" imageMso="OpenAttachedCalendar" label="PowerAuditor version" getText="CustomRibbonTab.getVersion" enabled="false" sizeString="99999999999999"/>
          <editBox id="TemplateVersion" imageMso="OpenAttachedCalendar" label="Template version" getText="CustomRibbonTab.getVersion" enabled="false" sizeString="99999999999999"/>
          <editBox id="VulnDBVersion" imageMso="OpenAttachedCalendar" label="VulnDB version" getText="CustomRibbonTab.LastUpdate" enabled="false" sizeString="99999999999999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18</vt:i4>
      </vt:variant>
    </vt:vector>
  </HeadingPairs>
  <TitlesOfParts>
    <vt:vector size="20" baseType="lpstr">
      <vt:lpstr>PowerAuditor</vt:lpstr>
      <vt:lpstr>CASA_TI_v1-FR</vt:lpstr>
      <vt:lpstr>BEGIN_DATE</vt:lpstr>
      <vt:lpstr>CLIENT</vt:lpstr>
      <vt:lpstr>END_DATE</vt:lpstr>
      <vt:lpstr>LEVEL</vt:lpstr>
      <vt:lpstr>LEVEL_LIST</vt:lpstr>
      <vt:lpstr>NES_v1_matrix_DR</vt:lpstr>
      <vt:lpstr>NES_v1_matrix_EI</vt:lpstr>
      <vt:lpstr>NES_v1_matrix_Priorité</vt:lpstr>
      <vt:lpstr>NES_v1_matrix_Risque</vt:lpstr>
      <vt:lpstr>OWASP_T10_EN</vt:lpstr>
      <vt:lpstr>OWASP_T10_FR</vt:lpstr>
      <vt:lpstr>PowerAuditorVersion</vt:lpstr>
      <vt:lpstr>REPORT_TYPE</vt:lpstr>
      <vt:lpstr>REPORT_TYPE_LIST</vt:lpstr>
      <vt:lpstr>SCOPE</vt:lpstr>
      <vt:lpstr>TARGET</vt:lpstr>
      <vt:lpstr>TemplateVersion</vt:lpstr>
      <vt:lpstr>VERSION_DATE</vt:lpstr>
    </vt:vector>
  </TitlesOfParts>
  <Manager>1mm0rt41PC</Manager>
  <Company>1mm0rt41PC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Security audit of &lt;hidden&gt; for &lt;secret&gt; by 1mm0rt41PC v2019-07-01</dc:title>
  <dc:subject>Security audit of &lt;hidden&gt; for &lt;secret&gt; by 1mm0rt41PC v2019-07-01</dc:subject>
  <dc:creator>NUEL Guillaume</dc:creator>
  <cp:keywords/>
  <dc:description>Security audit of &lt;hidden&gt; for &lt;secret&gt; by 1mm0rt41PC v2019-07-01</dc:description>
  <cp:lastModifiedBy>1mm0rt41PC</cp:lastModifiedBy>
  <cp:revision>0</cp:revision>
  <dcterms:created xsi:type="dcterms:W3CDTF">2011-06-07T11:38:29Z</dcterms:created>
  <dcterms:modified xsi:type="dcterms:W3CDTF">2019-07-01T12:53:45Z</dcterms:modified>
  <cp:category>Audit Documents</cp:category>
</cp:coreProperties>
</file>