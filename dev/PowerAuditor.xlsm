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a843d07d83f24efa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P:\Dev\PowerAuditor\dev\"/>
    </mc:Choice>
  </mc:AlternateContent>
  <xr:revisionPtr revIDLastSave="0" documentId="13_ncr:1_{D12EFCAA-0F85-4DFD-BFCB-C6265C4F2339}" xr6:coauthVersionLast="43" xr6:coauthVersionMax="43" xr10:uidLastSave="{00000000-0000-0000-0000-000000000000}"/>
  <bookViews>
    <workbookView xWindow="-108" yWindow="-108" windowWidth="23256" windowHeight="12720" xr2:uid="{00000000-000D-0000-FFFF-FFFF00000000}"/>
  </bookViews>
  <sheets>
    <sheet name="PowerAuditor" sheetId="9" r:id="rId1"/>
    <sheet name="NES_TI_v1-FR" sheetId="37" r:id="rId2"/>
  </sheets>
  <functionGroups builtInGroupCount="19"/>
  <definedNames>
    <definedName name="BEGIN_DATE">PowerAuditor!$F$12</definedName>
    <definedName name="CLIENT">PowerAuditor!$F$9</definedName>
    <definedName name="END_DATE">PowerAuditor!$F$13</definedName>
    <definedName name="LEVEL">PowerAuditor!$F$16</definedName>
    <definedName name="LEVEL_LIST">'NES_TI_v1-FR'!$AE$32:$AE$35</definedName>
    <definedName name="NES_v1_matrix_DR" localSheetId="1">'NES_TI_v1-FR'!$Q$36</definedName>
    <definedName name="NES_v1_matrix_EI" localSheetId="1">'NES_TI_v1-FR'!$Q$43</definedName>
    <definedName name="NES_v1_matrix_Priorité" localSheetId="1">'NES_TI_v1-FR'!$W$31</definedName>
    <definedName name="NES_v1_matrix_Risque" localSheetId="1">'NES_TI_v1-FR'!$W$38</definedName>
    <definedName name="OWASP_T10_EN">PowerAuditor!$A$38:$A$47</definedName>
    <definedName name="OWASP_T10_FR">PowerAuditor!$B$38:$B$47</definedName>
    <definedName name="PowerAuditorVersion">PowerAuditor!$D$38</definedName>
    <definedName name="REPORT_TYPE">PowerAuditor!$F$15</definedName>
    <definedName name="REPORT_TYPE_LIST">REPORT_TYPE_TBL[REPORT TYPE]</definedName>
    <definedName name="SCOPE">PowerAuditor!$F$14</definedName>
    <definedName name="TARGET">PowerAuditor!$F$10</definedName>
    <definedName name="TemplateVersion">'NES_TI_v1-FR'!$AF$32</definedName>
    <definedName name="VERSION_DATE">PowerAuditor!$F$11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3" i="37" l="1"/>
  <c r="N3" i="3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1mm0rt41PC</author>
  </authors>
  <commentList>
    <comment ref="F11" authorId="0" shapeId="0" xr:uid="{EDF1F4EE-C395-4408-8483-1F6FA230FC52}">
      <text>
        <r>
          <rPr>
            <b/>
            <sz val="9"/>
            <color indexed="81"/>
            <rFont val="Tahoma"/>
            <charset val="1"/>
          </rPr>
          <t>1mm0rt41PC:</t>
        </r>
        <r>
          <rPr>
            <sz val="9"/>
            <color indexed="81"/>
            <rFont val="Tahoma"/>
            <charset val="1"/>
          </rPr>
          <t xml:space="preserve">
If empty use the current date with the format YYYY-MM-DD</t>
        </r>
      </text>
    </comment>
  </commentList>
</comments>
</file>

<file path=xl/sharedStrings.xml><?xml version="1.0" encoding="utf-8"?>
<sst xmlns="http://schemas.openxmlformats.org/spreadsheetml/2006/main" count="87" uniqueCount="81">
  <si>
    <t>Target</t>
  </si>
  <si>
    <t>Client</t>
  </si>
  <si>
    <t>Version</t>
  </si>
  <si>
    <t>Begin</t>
  </si>
  <si>
    <t>End</t>
  </si>
  <si>
    <t>Global level</t>
  </si>
  <si>
    <t>Report Type</t>
  </si>
  <si>
    <t>Value</t>
  </si>
  <si>
    <t>Key</t>
  </si>
  <si>
    <t>REPORT TYPE</t>
  </si>
  <si>
    <t>2018-11-15</t>
  </si>
  <si>
    <t>2018-11-16</t>
  </si>
  <si>
    <t>www.poney.club</t>
  </si>
  <si>
    <t>Scope</t>
  </si>
  <si>
    <t>myCli</t>
  </si>
  <si>
    <t>Example_v1</t>
  </si>
  <si>
    <t>My Pony WebSite</t>
  </si>
  <si>
    <t>NES_TI_v1</t>
  </si>
  <si>
    <t>Exploitation</t>
  </si>
  <si>
    <t>EI</t>
  </si>
  <si>
    <t>Impact</t>
  </si>
  <si>
    <t>Diff reco</t>
  </si>
  <si>
    <t>DR</t>
  </si>
  <si>
    <t>A3 – Cross-Site Scripting (XSS)</t>
  </si>
  <si>
    <t>A1 – Injection</t>
  </si>
  <si>
    <t>Risk</t>
  </si>
  <si>
    <t>LEVEL</t>
  </si>
  <si>
    <t>4 - TRIVIAL</t>
  </si>
  <si>
    <t>P</t>
  </si>
  <si>
    <t>D</t>
  </si>
  <si>
    <t>fixtype</t>
  </si>
  <si>
    <t>risk</t>
  </si>
  <si>
    <t>fix</t>
  </si>
  <si>
    <t>R</t>
  </si>
  <si>
    <t>I</t>
  </si>
  <si>
    <t>E</t>
  </si>
  <si>
    <t>desc</t>
  </si>
  <si>
    <t>category</t>
  </si>
  <si>
    <t>account</t>
  </si>
  <si>
    <t>name</t>
  </si>
  <si>
    <t>target</t>
  </si>
  <si>
    <t>id</t>
  </si>
  <si>
    <t>Impact ( I )</t>
  </si>
  <si>
    <t>Description</t>
  </si>
  <si>
    <t>Id #</t>
  </si>
  <si>
    <t>VERSION</t>
  </si>
  <si>
    <t>NES_TI_v1-FR</t>
  </si>
  <si>
    <t>Cible</t>
  </si>
  <si>
    <t>Vulnérabilité</t>
  </si>
  <si>
    <t>Compte
requis</t>
  </si>
  <si>
    <t>Catégorie</t>
  </si>
  <si>
    <t>Difficulté d'exploitation ( E )</t>
  </si>
  <si>
    <t>Risque (E x I) 
= ( R )</t>
  </si>
  <si>
    <t>Recommandation</t>
  </si>
  <si>
    <t>Risque</t>
  </si>
  <si>
    <t>Type de 
correctif</t>
  </si>
  <si>
    <t>Difficulté de mise
 en place ( D )</t>
  </si>
  <si>
    <t>Priorité ( P )</t>
  </si>
  <si>
    <t>4 - CRITIQUE</t>
  </si>
  <si>
    <t>4 - TRES DIFFICILE</t>
  </si>
  <si>
    <t>Priorité</t>
  </si>
  <si>
    <t>TOP TEN OWASP FR</t>
  </si>
  <si>
    <t>1 - BASSE</t>
  </si>
  <si>
    <t>2 - MOYENNE</t>
  </si>
  <si>
    <t>A2 – Violation de gestion d'authentification et de session</t>
  </si>
  <si>
    <t>3 - FAIBLE</t>
  </si>
  <si>
    <t>3 - URGENTE</t>
  </si>
  <si>
    <t>2 - MOYEN</t>
  </si>
  <si>
    <t>4 - IMMEDIATE</t>
  </si>
  <si>
    <t>A4 – Violation de contrôle d'accès</t>
  </si>
  <si>
    <t>1 - HAUT</t>
  </si>
  <si>
    <t>A5 – Mauvaise configuration de sécurité</t>
  </si>
  <si>
    <t>A6 – Exposition de données sensibles</t>
  </si>
  <si>
    <t>A7 – Protection insuffisante contre les attaques</t>
  </si>
  <si>
    <t>1 - FAIBLE</t>
  </si>
  <si>
    <t>A8 – Falsification de requêtes intersites (CSRF)</t>
  </si>
  <si>
    <t>2 - NOTABLE</t>
  </si>
  <si>
    <t>A9 – Utilisation de composants avec des vulnérabilités connues</t>
  </si>
  <si>
    <t>3 - DOMMAGEABLE</t>
  </si>
  <si>
    <t>A10 – APIs non sécurisées</t>
  </si>
  <si>
    <t>2019-06-3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</si>
</sst>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9" x14ac:knownFonts="1">
    <font>
      <sz val="11"/>
      <color rgb="FF000000"/>
      <name val="Calibri"/>
      <family val="2"/>
      <charset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color rgb="FF000000"/>
      <name val="Calibri"/>
      <family val="2"/>
      <charset val="1"/>
    </font>
    <font>
      <u/>
      <sz val="11"/>
      <color theme="10"/>
      <name val="Calibri"/>
      <family val="2"/>
      <charset val="1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11"/>
      <color theme="0"/>
      <name val="Calibri"/>
      <family val="2"/>
    </font>
    <font>
      <b/>
      <sz val="10"/>
      <color rgb="FF000000"/>
      <name val="Calibri"/>
      <family val="2"/>
    </font>
    <font>
      <b/>
      <sz val="10"/>
      <color rgb="FF000000"/>
      <name val="Arial"/>
      <family val="2"/>
    </font>
    <font>
      <sz val="11"/>
      <color theme="0"/>
      <name val="Calibri"/>
      <family val="2"/>
      <charset val="1"/>
    </font>
    <font>
      <sz val="11"/>
      <color theme="0"/>
      <name val="Calibri"/>
      <family val="2"/>
      <scheme val="minor"/>
    </font>
    <font>
      <b/>
      <sz val="11"/>
      <color rgb="FF000000"/>
      <name val="Calibri"/>
      <family val="2"/>
      <charset val="1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rgb="FFFFC000"/>
        <bgColor rgb="FFFF9900"/>
      </patternFill>
    </fill>
  </fills>
  <borders count="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62">
    <xf numFmtId="0" fontId="0" fillId="0" borderId="0"/>
    <xf numFmtId="0" fontId="53" fillId="0" borderId="0"/>
    <xf numFmtId="0" fontId="54" fillId="0" borderId="0"/>
    <xf numFmtId="0" fontId="55" fillId="0" borderId="0" applyNumberFormat="0" applyFill="0" applyBorder="0" applyAlignment="0" applyProtection="0">
      <alignment vertical="top"/>
      <protection locked="0"/>
    </xf>
    <xf numFmtId="0" fontId="52" fillId="0" borderId="0"/>
    <xf numFmtId="0" fontId="56" fillId="0" borderId="0"/>
    <xf numFmtId="0" fontId="51" fillId="0" borderId="0"/>
    <xf numFmtId="0" fontId="50" fillId="0" borderId="0"/>
    <xf numFmtId="0" fontId="49" fillId="0" borderId="0"/>
    <xf numFmtId="0" fontId="57" fillId="0" borderId="0" applyNumberFormat="0" applyFill="0" applyBorder="0" applyAlignment="0" applyProtection="0"/>
    <xf numFmtId="0" fontId="48" fillId="0" borderId="0"/>
    <xf numFmtId="0" fontId="47" fillId="0" borderId="0"/>
    <xf numFmtId="0" fontId="46" fillId="0" borderId="0"/>
    <xf numFmtId="0" fontId="45" fillId="0" borderId="0"/>
    <xf numFmtId="0" fontId="44" fillId="0" borderId="0"/>
    <xf numFmtId="0" fontId="43" fillId="0" borderId="0"/>
    <xf numFmtId="0" fontId="42" fillId="0" borderId="0"/>
    <xf numFmtId="0" fontId="41" fillId="0" borderId="0"/>
    <xf numFmtId="0" fontId="40" fillId="0" borderId="0"/>
    <xf numFmtId="0" fontId="39" fillId="0" borderId="0"/>
    <xf numFmtId="0" fontId="38" fillId="0" borderId="0"/>
    <xf numFmtId="0" fontId="37" fillId="0" borderId="0"/>
    <xf numFmtId="0" fontId="37" fillId="0" borderId="0"/>
    <xf numFmtId="0" fontId="36" fillId="0" borderId="0"/>
    <xf numFmtId="0" fontId="35" fillId="0" borderId="0"/>
    <xf numFmtId="0" fontId="34" fillId="0" borderId="0"/>
    <xf numFmtId="0" fontId="33" fillId="0" borderId="0"/>
    <xf numFmtId="0" fontId="32" fillId="0" borderId="0"/>
    <xf numFmtId="0" fontId="31" fillId="0" borderId="0"/>
    <xf numFmtId="0" fontId="30" fillId="0" borderId="0"/>
    <xf numFmtId="0" fontId="29" fillId="0" borderId="0"/>
    <xf numFmtId="0" fontId="28" fillId="0" borderId="0"/>
    <xf numFmtId="0" fontId="27" fillId="0" borderId="0"/>
    <xf numFmtId="0" fontId="26" fillId="0" borderId="0"/>
    <xf numFmtId="0" fontId="25" fillId="0" borderId="0"/>
    <xf numFmtId="0" fontId="24" fillId="0" borderId="0"/>
    <xf numFmtId="0" fontId="23" fillId="0" borderId="0"/>
    <xf numFmtId="0" fontId="22" fillId="0" borderId="0"/>
    <xf numFmtId="0" fontId="21" fillId="0" borderId="0"/>
    <xf numFmtId="0" fontId="20" fillId="0" borderId="0"/>
    <xf numFmtId="0" fontId="19" fillId="0" borderId="0"/>
    <xf numFmtId="0" fontId="18" fillId="0" borderId="0"/>
    <xf numFmtId="0" fontId="17" fillId="0" borderId="0"/>
    <xf numFmtId="0" fontId="16" fillId="0" borderId="0"/>
    <xf numFmtId="0" fontId="15" fillId="0" borderId="0"/>
    <xf numFmtId="0" fontId="14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10" fillId="0" borderId="0"/>
    <xf numFmtId="0" fontId="9" fillId="0" borderId="0"/>
    <xf numFmtId="0" fontId="8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2" fillId="0" borderId="0"/>
    <xf numFmtId="0" fontId="1" fillId="0" borderId="0"/>
  </cellStyleXfs>
  <cellXfs count="43">
    <xf numFmtId="0" fontId="0" fillId="0" borderId="0" xfId="0"/>
    <xf numFmtId="0" fontId="0" fillId="2" borderId="0" xfId="0" applyFill="1"/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9" fontId="0" fillId="0" borderId="4" xfId="0" applyNumberFormat="1" applyBorder="1" applyAlignment="1">
      <alignment horizontal="center" vertical="center"/>
    </xf>
    <xf numFmtId="0" fontId="57" fillId="0" borderId="4" xfId="9" applyBorder="1" applyAlignment="1">
      <alignment horizontal="center" vertical="center"/>
    </xf>
    <xf numFmtId="0" fontId="58" fillId="0" borderId="1" xfId="0" applyFont="1" applyBorder="1"/>
    <xf numFmtId="0" fontId="58" fillId="0" borderId="3" xfId="0" applyFont="1" applyBorder="1"/>
    <xf numFmtId="0" fontId="58" fillId="0" borderId="5" xfId="0" applyFont="1" applyBorder="1"/>
    <xf numFmtId="0" fontId="56" fillId="0" borderId="0" xfId="5"/>
    <xf numFmtId="0" fontId="56" fillId="0" borderId="0" xfId="5" applyAlignment="1">
      <alignment horizontal="center" vertical="center"/>
    </xf>
    <xf numFmtId="0" fontId="59" fillId="0" borderId="0" xfId="5" applyFont="1"/>
    <xf numFmtId="0" fontId="59" fillId="3" borderId="0" xfId="5" applyFont="1" applyFill="1" applyAlignment="1">
      <alignment horizontal="center" vertical="center"/>
    </xf>
    <xf numFmtId="0" fontId="59" fillId="4" borderId="0" xfId="5" applyFont="1" applyFill="1" applyAlignment="1">
      <alignment horizontal="center" vertical="center"/>
    </xf>
    <xf numFmtId="0" fontId="59" fillId="5" borderId="0" xfId="5" applyFont="1" applyFill="1"/>
    <xf numFmtId="0" fontId="59" fillId="6" borderId="0" xfId="5" applyFont="1" applyFill="1" applyAlignment="1">
      <alignment horizontal="center" vertical="center"/>
    </xf>
    <xf numFmtId="0" fontId="59" fillId="7" borderId="0" xfId="5" applyFont="1" applyFill="1" applyAlignment="1">
      <alignment horizontal="center" vertical="center"/>
    </xf>
    <xf numFmtId="0" fontId="59" fillId="7" borderId="0" xfId="5" applyFont="1" applyFill="1"/>
    <xf numFmtId="0" fontId="59" fillId="5" borderId="0" xfId="5" applyFont="1" applyFill="1" applyAlignment="1">
      <alignment horizontal="center" vertical="center"/>
    </xf>
    <xf numFmtId="0" fontId="60" fillId="8" borderId="7" xfId="5" applyFont="1" applyFill="1" applyBorder="1" applyAlignment="1">
      <alignment horizontal="left" vertical="center" wrapText="1" shrinkToFit="1"/>
    </xf>
    <xf numFmtId="0" fontId="59" fillId="3" borderId="0" xfId="5" applyFont="1" applyFill="1"/>
    <xf numFmtId="0" fontId="61" fillId="5" borderId="0" xfId="5" applyFont="1" applyFill="1"/>
    <xf numFmtId="0" fontId="62" fillId="9" borderId="0" xfId="5" applyFont="1" applyFill="1" applyAlignment="1">
      <alignment horizontal="center" vertical="center" wrapText="1" shrinkToFit="1"/>
    </xf>
    <xf numFmtId="0" fontId="56" fillId="0" borderId="0" xfId="5" applyAlignment="1">
      <alignment horizontal="center" vertical="center" wrapText="1" shrinkToFit="1"/>
    </xf>
    <xf numFmtId="0" fontId="56" fillId="0" borderId="0" xfId="5" applyAlignment="1">
      <alignment horizontal="left" vertical="center" wrapText="1" shrinkToFit="1"/>
    </xf>
    <xf numFmtId="0" fontId="59" fillId="0" borderId="0" xfId="5" applyFont="1" applyAlignment="1">
      <alignment horizontal="left" vertical="center" wrapText="1" shrinkToFit="1"/>
    </xf>
    <xf numFmtId="0" fontId="58" fillId="0" borderId="0" xfId="5" applyFont="1" applyAlignment="1">
      <alignment horizontal="center" vertical="center" wrapText="1" shrinkToFit="1"/>
    </xf>
    <xf numFmtId="0" fontId="56" fillId="0" borderId="0" xfId="5" applyAlignment="1">
      <alignment horizontal="center"/>
    </xf>
    <xf numFmtId="49" fontId="0" fillId="0" borderId="0" xfId="0" applyNumberFormat="1"/>
    <xf numFmtId="0" fontId="62" fillId="0" borderId="0" xfId="5" applyFont="1" applyAlignment="1">
      <alignment horizontal="center" vertical="center" wrapText="1" shrinkToFit="1"/>
    </xf>
    <xf numFmtId="0" fontId="64" fillId="0" borderId="0" xfId="5" applyFont="1" applyAlignment="1">
      <alignment horizontal="center" vertical="center"/>
    </xf>
    <xf numFmtId="0" fontId="64" fillId="0" borderId="0" xfId="5" applyFont="1" applyAlignment="1">
      <alignment horizontal="center" vertical="center" wrapText="1"/>
    </xf>
    <xf numFmtId="0" fontId="0" fillId="0" borderId="0" xfId="5" applyFont="1" applyAlignment="1">
      <alignment horizontal="center" vertical="center" wrapText="1" shrinkToFit="1"/>
    </xf>
    <xf numFmtId="0" fontId="66" fillId="0" borderId="0" xfId="5" applyFont="1" applyAlignment="1">
      <alignment horizontal="center" vertical="center" wrapText="1" shrinkToFit="1"/>
    </xf>
    <xf numFmtId="0" fontId="62" fillId="0" borderId="0" xfId="5" quotePrefix="1" applyFont="1" applyAlignment="1">
      <alignment horizontal="center" vertical="center" wrapText="1" shrinkToFit="1"/>
    </xf>
    <xf numFmtId="0" fontId="65" fillId="0" borderId="0" xfId="61" applyFont="1"/>
    <xf numFmtId="0" fontId="65" fillId="0" borderId="0" xfId="5" applyFont="1"/>
    <xf numFmtId="0" fontId="1" fillId="0" borderId="0" xfId="61"/>
    <xf numFmtId="49" fontId="0" fillId="0" borderId="0" xfId="5" applyNumberFormat="1" applyFont="1"/>
    <xf numFmtId="0" fontId="59" fillId="0" borderId="0" xfId="5" quotePrefix="1" applyFont="1"/>
    <xf numFmtId="0" fontId="63" fillId="7" borderId="6" xfId="2" applyFont="1" applyFill="1" applyBorder="1" applyAlignment="1" applyProtection="1">
      <alignment horizontal="center"/>
      <protection locked="0"/>
    </xf>
    <xf numFmtId="0" fontId="59" fillId="0" borderId="0" xfId="5" applyFont="1" applyAlignment="1">
      <alignment horizontal="center" vertical="center" textRotation="90"/>
    </xf>
    <xf numFmtId="0" fontId="59" fillId="0" borderId="0" xfId="5" applyFont="1" applyAlignment="1">
      <alignment horizontal="center"/>
    </xf>
  </cellXfs>
  <cellStyles count="62">
    <cellStyle name="Lien hypertexte" xfId="9" builtinId="8"/>
    <cellStyle name="Lien hypertexte 2" xfId="3" xr:uid="{00000000-0005-0000-0000-000001000000}"/>
    <cellStyle name="Normal" xfId="0" builtinId="0"/>
    <cellStyle name="Normal 10" xfId="13" xr:uid="{00000000-0005-0000-0000-000003000000}"/>
    <cellStyle name="Normal 11" xfId="14" xr:uid="{00000000-0005-0000-0000-000004000000}"/>
    <cellStyle name="Normal 12" xfId="15" xr:uid="{00000000-0005-0000-0000-000005000000}"/>
    <cellStyle name="Normal 12 2" xfId="23" xr:uid="{8A3C1B6D-B4B3-48BF-AB16-034A20FBA0E1}"/>
    <cellStyle name="Normal 12 2 2" xfId="24" xr:uid="{FD90072D-9272-4DB9-9716-14079DEC4864}"/>
    <cellStyle name="Normal 12 2 2 2" xfId="25" xr:uid="{4469F1D6-DAE8-4970-AC84-7B323016EF56}"/>
    <cellStyle name="Normal 12 2 2 2 2" xfId="27" xr:uid="{76DF9F2D-873C-47C8-81EB-D552D96F0A8A}"/>
    <cellStyle name="Normal 12 2 2 2 3" xfId="30" xr:uid="{4CD422E1-2E78-493A-B76F-6E905A75CF94}"/>
    <cellStyle name="Normal 12 2 2 2 4" xfId="32" xr:uid="{D2ACC1AC-A8FE-49C2-AF0F-3586716C32D2}"/>
    <cellStyle name="Normal 12 2 2 2 5" xfId="34" xr:uid="{6834E6D9-00BF-4DB3-946C-4D2946C3DE32}"/>
    <cellStyle name="Normal 12 2 2 2 6" xfId="36" xr:uid="{D91F453D-9E39-4274-AF27-9F5F130140FB}"/>
    <cellStyle name="Normal 12 2 2 2 7" xfId="38" xr:uid="{F6DF243F-706F-409A-82BD-6892F6C05C1D}"/>
    <cellStyle name="Normal 13" xfId="16" xr:uid="{00000000-0005-0000-0000-000006000000}"/>
    <cellStyle name="Normal 13 2" xfId="22" xr:uid="{3B0276C3-63EB-4FFE-AE98-A87F8A52FFE3}"/>
    <cellStyle name="Normal 13 3" xfId="26" xr:uid="{38433431-CB95-45DA-8D54-7C5C705C6BF2}"/>
    <cellStyle name="Normal 13 3 2" xfId="28" xr:uid="{C0F0F981-846B-48A7-AE1A-D9F98A157F99}"/>
    <cellStyle name="Normal 13 3 2 2" xfId="31" xr:uid="{B45C2D65-8BC5-406E-861F-389BC6C4E446}"/>
    <cellStyle name="Normal 13 3 2 2 2" xfId="33" xr:uid="{95620994-1C05-4F62-BA4A-4888B0168F58}"/>
    <cellStyle name="Normal 13 3 2 2 2 2" xfId="35" xr:uid="{806F3E76-275A-4D2C-994E-E4DBA2FD5A7A}"/>
    <cellStyle name="Normal 13 3 2 2 2 2 10" xfId="46" xr:uid="{ECC491C7-9A29-4F8B-8BC4-AAA0D5B17D77}"/>
    <cellStyle name="Normal 13 3 2 2 2 2 11" xfId="47" xr:uid="{8959B052-8200-424D-A34F-3717515A7BFF}"/>
    <cellStyle name="Normal 13 3 2 2 2 2 11 2" xfId="48" xr:uid="{D4A2C784-E57A-40D2-80EA-715A44FF53C9}"/>
    <cellStyle name="Normal 13 3 2 2 2 2 11 3" xfId="49" xr:uid="{5E8913D0-5491-4327-988E-9B6ADC080458}"/>
    <cellStyle name="Normal 13 3 2 2 2 2 11 4" xfId="51" xr:uid="{A1E9FB16-BDF4-486B-A6B6-51CD959BE63A}"/>
    <cellStyle name="Normal 13 3 2 2 2 2 11 4 2" xfId="53" xr:uid="{2DCF1F2C-85B4-4151-B586-B4CA111EE77C}"/>
    <cellStyle name="Normal 13 3 2 2 2 2 11 4 2 2" xfId="55" xr:uid="{2841DB44-7177-4064-B2BA-60629D6D9421}"/>
    <cellStyle name="Normal 13 3 2 2 2 2 11 4 2 2 2" xfId="57" xr:uid="{BC040B29-E654-483B-9417-FCE0E7B9896E}"/>
    <cellStyle name="Normal 13 3 2 2 2 2 11 4 2 2 3" xfId="59" xr:uid="{B5FC2920-72CE-46A0-A7A4-B2694D250176}"/>
    <cellStyle name="Normal 13 3 2 2 2 2 11 4 2 2 4" xfId="61" xr:uid="{C89FF59E-30FB-48BD-AA2C-7B8F89EF1BFF}"/>
    <cellStyle name="Normal 13 3 2 2 2 2 2" xfId="37" xr:uid="{9CAA0D97-1768-41D8-B85A-F190C074DD06}"/>
    <cellStyle name="Normal 13 3 2 2 2 2 3" xfId="39" xr:uid="{248E725A-5008-4835-B66B-E2B56DB776E9}"/>
    <cellStyle name="Normal 13 3 2 2 2 2 4" xfId="40" xr:uid="{2D53DF5E-A521-4FFF-A8AB-6071CE0D1534}"/>
    <cellStyle name="Normal 13 3 2 2 2 2 5" xfId="41" xr:uid="{8E4E24F6-13BD-40F7-91AF-5BF8B6335628}"/>
    <cellStyle name="Normal 13 3 2 2 2 2 6" xfId="42" xr:uid="{FBE4463E-D2E0-4E2C-B7AD-D225398CC8CE}"/>
    <cellStyle name="Normal 13 3 2 2 2 2 7" xfId="43" xr:uid="{016891D9-3DA8-46B9-A930-37DFE7F5F116}"/>
    <cellStyle name="Normal 13 3 2 2 2 2 8" xfId="44" xr:uid="{585A52C5-A370-4680-B071-357C81C0FC9E}"/>
    <cellStyle name="Normal 13 3 2 2 2 2 9" xfId="45" xr:uid="{FC58DD18-55B3-4B75-840A-59EB89CF99A4}"/>
    <cellStyle name="Normal 14" xfId="17" xr:uid="{00000000-0005-0000-0000-000007000000}"/>
    <cellStyle name="Normal 14 2" xfId="18" xr:uid="{00000000-0005-0000-0000-000008000000}"/>
    <cellStyle name="Normal 14 3" xfId="19" xr:uid="{00000000-0005-0000-0000-000009000000}"/>
    <cellStyle name="Normal 14 4" xfId="20" xr:uid="{00000000-0005-0000-0000-00000A000000}"/>
    <cellStyle name="Normal 14 5" xfId="21" xr:uid="{D0E9E293-83EA-4ECB-B75B-F9056E977637}"/>
    <cellStyle name="Normal 14 5 2" xfId="29" xr:uid="{F2F61166-1F06-486E-A42E-4522B391DFC1}"/>
    <cellStyle name="Normal 14 5 2 2" xfId="50" xr:uid="{5E689413-7FCE-4B69-9A8D-207D3F669B4F}"/>
    <cellStyle name="Normal 14 5 2 3" xfId="52" xr:uid="{F3A429C0-E2FF-4906-91EE-B3DA170C6861}"/>
    <cellStyle name="Normal 14 5 2 4" xfId="54" xr:uid="{5BE168D1-1CC8-40AB-AD6E-1349BC551804}"/>
    <cellStyle name="Normal 14 5 2 4 2" xfId="56" xr:uid="{DD69EDFE-2BB3-46D4-B062-CC5B72E629BD}"/>
    <cellStyle name="Normal 14 5 2 4 3" xfId="58" xr:uid="{8688A856-3A0F-4650-9A22-8F08F9135905}"/>
    <cellStyle name="Normal 14 5 2 4 4" xfId="60" xr:uid="{B0501CE4-9B2D-42AF-A0DE-E8F5CA09A673}"/>
    <cellStyle name="Normal 2" xfId="1" xr:uid="{00000000-0005-0000-0000-00000B000000}"/>
    <cellStyle name="Normal 2 2" xfId="4" xr:uid="{00000000-0005-0000-0000-00000C000000}"/>
    <cellStyle name="Normal 2 3" xfId="5" xr:uid="{00000000-0005-0000-0000-00000D000000}"/>
    <cellStyle name="Normal 3" xfId="2" xr:uid="{00000000-0005-0000-0000-00000E000000}"/>
    <cellStyle name="Normal 4" xfId="6" xr:uid="{00000000-0005-0000-0000-00000F000000}"/>
    <cellStyle name="Normal 5" xfId="7" xr:uid="{00000000-0005-0000-0000-000010000000}"/>
    <cellStyle name="Normal 6" xfId="8" xr:uid="{00000000-0005-0000-0000-000011000000}"/>
    <cellStyle name="Normal 7" xfId="10" xr:uid="{00000000-0005-0000-0000-000012000000}"/>
    <cellStyle name="Normal 8" xfId="11" xr:uid="{00000000-0005-0000-0000-000013000000}"/>
    <cellStyle name="Normal 9" xfId="12" xr:uid="{00000000-0005-0000-0000-000014000000}"/>
  </cellStyles>
  <dxfs count="32">
    <dxf>
      <font>
        <b/>
        <strike val="0"/>
        <outline val="0"/>
        <shadow val="0"/>
        <u val="none"/>
        <vertAlign val="baseline"/>
        <sz val="10"/>
        <color rgb="FF000000"/>
        <name val="Calibri"/>
        <scheme val="none"/>
      </font>
      <numFmt numFmtId="0" formatCode="General"/>
      <alignment horizontal="center"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alignment horizontal="center" vertical="center" textRotation="0" wrapText="1" indent="0" justifyLastLine="0" shrinkToFit="1" readingOrder="0"/>
    </dxf>
    <dxf>
      <alignment horizontal="center" vertical="center" textRotation="0" wrapText="1" indent="0" justifyLastLine="0" shrinkToFit="1" readingOrder="0"/>
    </dxf>
    <dxf>
      <alignment horizontal="center" vertical="center" textRotation="0" wrapText="1" indent="0" justifyLastLine="0" shrinkToFit="1" readingOrder="0"/>
    </dxf>
    <dxf>
      <font>
        <b/>
        <strike val="0"/>
        <outline val="0"/>
        <shadow val="0"/>
        <u val="none"/>
        <vertAlign val="baseline"/>
        <sz val="10"/>
        <color rgb="FF000000"/>
        <name val="Calibri"/>
        <scheme val="none"/>
      </font>
      <numFmt numFmtId="0" formatCode="General"/>
      <alignment horizontal="center"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alignment horizontal="left" vertical="center" textRotation="0" wrapText="1" indent="0" justifyLastLine="0" shrinkToFit="1" readingOrder="0"/>
    </dxf>
    <dxf>
      <font>
        <b/>
      </font>
      <alignment horizontal="center" vertical="center" textRotation="0" wrapText="1" indent="0" justifyLastLine="0" shrinkToFit="1" readingOrder="0"/>
    </dxf>
    <dxf>
      <font>
        <b/>
      </font>
      <alignment horizontal="center" vertical="center" textRotation="0" wrapText="1" indent="0" justifyLastLine="0" shrinkToFit="1" readingOrder="0"/>
    </dxf>
    <dxf>
      <font>
        <b/>
      </font>
      <alignment horizontal="center" vertical="center" textRotation="0" wrapText="1" indent="0" justifyLastLine="0" shrinkToFit="1" readingOrder="0"/>
    </dxf>
    <dxf>
      <alignment horizontal="center"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charset val="1"/>
        <scheme val="none"/>
      </font>
      <alignment horizontal="center" vertical="center" textRotation="0" wrapText="0" indent="0" justifyLastLine="0" shrinkToFit="0" readingOrder="0"/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000"/>
      <rgbColor rgb="00FF9900"/>
      <rgbColor rgb="00FF6600"/>
      <rgbColor rgb="00666699"/>
      <rgbColor rgb="00969696"/>
      <rgbColor rgb="00003366"/>
      <rgbColor rgb="0000B050"/>
      <rgbColor rgb="00003300"/>
      <rgbColor rgb="00333300"/>
      <rgbColor rgb="00993300"/>
      <rgbColor rgb="00993366"/>
      <rgbColor rgb="0033339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33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68580</xdr:colOff>
      <xdr:row>1</xdr:row>
      <xdr:rowOff>15240</xdr:rowOff>
    </xdr:from>
    <xdr:to>
      <xdr:col>3</xdr:col>
      <xdr:colOff>550545</xdr:colOff>
      <xdr:row>19</xdr:row>
      <xdr:rowOff>9525</xdr:rowOff>
    </xdr:to>
    <xdr:pic>
      <xdr:nvPicPr>
        <xdr:cNvPr id="2" name="Image 1" descr="RÃ©sultat de recherche d'images pour &quot;ironman&quot;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352" t="8127"/>
        <a:stretch/>
      </xdr:blipFill>
      <xdr:spPr bwMode="auto">
        <a:xfrm>
          <a:off x="68580" y="198120"/>
          <a:ext cx="3093720" cy="31013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3</xdr:col>
      <xdr:colOff>182048</xdr:colOff>
      <xdr:row>0</xdr:row>
      <xdr:rowOff>7435</xdr:rowOff>
    </xdr:from>
    <xdr:ext cx="6798721" cy="1050672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559488" y="7435"/>
          <a:ext cx="6798721" cy="1050672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fr-FR" sz="6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roadway" panose="04040905080B02020502" pitchFamily="82" charset="0"/>
            </a:rPr>
            <a:t>Power Auditor</a:t>
          </a:r>
          <a:endParaRPr lang="fr-FR" sz="5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Broadway" panose="04040905080B02020502" pitchFamily="82" charset="0"/>
          </a:endParaRP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PowerAuditorInfo" displayName="PowerAuditorInfo" ref="E7:F16" totalsRowShown="0" headerRowDxfId="31" dataDxfId="30">
  <autoFilter ref="E7:F16" xr:uid="{00000000-0009-0000-0100-000003000000}"/>
  <tableColumns count="2">
    <tableColumn id="1" xr3:uid="{00000000-0010-0000-0000-000001000000}" name="Value" dataDxfId="29"/>
    <tableColumn id="2" xr3:uid="{00000000-0010-0000-0000-000002000000}" name="Key" dataDxfId="28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REPORT_TYPE_TBL" displayName="REPORT_TYPE_TBL" ref="C37:D49" totalsRowShown="0">
  <autoFilter ref="C37:D49" xr:uid="{00000000-0009-0000-0100-000001000000}"/>
  <tableColumns count="2">
    <tableColumn id="1" xr3:uid="{00000000-0010-0000-0100-000001000000}" name="REPORT TYPE"/>
    <tableColumn id="2" xr3:uid="{C52C247C-BFB7-447E-9B23-5B5C99B94D5E}" name="Version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0199EA-B95D-458F-BF0C-D387DF7B1207}" name="Tableau2" displayName="Tableau2" ref="A1:N3" totalsRowShown="0" headerRowDxfId="15" dataDxfId="14">
  <autoFilter ref="A1:N3" xr:uid="{00000000-0009-0000-0100-000001000000}"/>
  <tableColumns count="14">
    <tableColumn id="1" xr3:uid="{82D7E700-97F2-419C-BDB9-EBDCE5929D90}" name="Id #" dataDxfId="13"/>
    <tableColumn id="2" xr3:uid="{348B047E-40FC-453F-AE2B-6FDA744DF54A}" name="Cible" dataDxfId="12"/>
    <tableColumn id="3" xr3:uid="{7EC5083C-DA93-4AC8-9566-2873BD778971}" name="Vulnérabilité" dataDxfId="11"/>
    <tableColumn id="4" xr3:uid="{B2C596B1-9987-43A4-9467-FA308C9C40DF}" name="Compte_x000a_requis" dataDxfId="10"/>
    <tableColumn id="14" xr3:uid="{54D41E29-EC30-4197-ACA7-79A1030EF515}" name="Catégorie" dataDxfId="9"/>
    <tableColumn id="5" xr3:uid="{BBC92640-3496-4121-9A51-AFF65E0081AB}" name="Description" dataDxfId="8"/>
    <tableColumn id="6" xr3:uid="{2061F63A-7AA6-45BF-9B65-15F13CAB6F3A}" name="Difficulté d'exploitation ( E )" dataDxfId="7"/>
    <tableColumn id="7" xr3:uid="{598751B4-BC6B-477F-B749-F687FCB5DCF2}" name="Impact ( I )" dataDxfId="6"/>
    <tableColumn id="8" xr3:uid="{FF1223C9-6DDB-4B44-A1B9-375A2750BEDF}" name="Risque (E x I) _x000a_= ( R )" dataDxfId="5">
      <calculatedColumnFormula>IF(OR(AND(H2="CRITIQUE",OR(G2="TRIVIAL",G2="FACILE")), AND(H2="DOMMAGEABLE",G2="TRIVIAL") ), "CRITIQUE", IF(OR(AND(H2="FAIBLE",OR(G2="DIFFICILE",G2="MOYENNE")),AND(H2="NOTABLE",G2="DIFFICILE")), "FAIBLE", IF(OR(AND(H2="DOMMAGEABLE",OR(G2="FACILE",G2="MOYENNE")),AND(H2="NOTABLE",G2="TRIVIAL"), AND(H2="CRITIQUE",G2="MOYENNE")), "DOMMAGEABLE", "NOTABLE")))</calculatedColumnFormula>
    </tableColumn>
    <tableColumn id="9" xr3:uid="{D43FE135-29A8-42AE-9DDD-19BB43188D56}" name="Recommandation" dataDxfId="4"/>
    <tableColumn id="10" xr3:uid="{DDE9383A-7138-4E35-B739-4AF18E68EFE4}" name="Risque" dataDxfId="3"/>
    <tableColumn id="11" xr3:uid="{28EF3E06-8BB1-4D25-8B7C-FEADF8FAE95C}" name="Type de _x000a_correctif" dataDxfId="2"/>
    <tableColumn id="12" xr3:uid="{4D244782-658D-4732-A111-7416355B01DE}" name="Difficulté de mise_x000a_ en place ( D )" dataDxfId="1"/>
    <tableColumn id="13" xr3:uid="{173D5052-30AF-4F97-8FCA-3D144EDA2523}" name="Priorité ( P )" dataDxfId="0">
      <calculatedColumnFormula>IF(OR(AND(I2="CRITIQUE",OR(M2="FAIBLE",M2="MOYENNE")), AND(I2="DOMMAGEABLE",M2="FAIBLE") ), "URGENTE", IF(OR(AND(I2="FAIBLE",OR(M2="MOYENNE",M2="ELEVEE",M2="TRES DIFFICILE",)),AND(I2="NOTABLE",M2="TRES DIFFICILE")), "BASSE", IF(OR(AND(I2="DOMMAGEABLE",OR(M2="MOYENNE",M2="ELEVEE")),AND(I2="NOTABLE",M2="FAIBLE"), AND(I2="CRITIQUE",M2="ELEVEE")), "ELEVEE", "MOYENNE")))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703F38E-05B5-4531-827B-097046FBC897}" name="Tableau35" displayName="Tableau35" ref="AD31:AF41" totalsRowShown="0">
  <autoFilter ref="AD31:AF41" xr:uid="{5175DF1D-8F88-4061-946A-86759BE82F85}"/>
  <tableColumns count="3">
    <tableColumn id="1" xr3:uid="{F57FEE92-69E1-4744-9DAE-58B05C0041FB}" name="TOP TEN OWASP FR"/>
    <tableColumn id="2" xr3:uid="{B8A5F51F-638F-4D6E-B526-6F25DED35CC9}" name="LEVEL" dataCellStyle="Normal 2 3"/>
    <tableColumn id="3" xr3:uid="{642EF577-0C16-4DAD-B558-C17979D6770E}" name="VERSION" dataCellStyle="Normal 2 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poney.club/" TargetMode="External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owerAuditor"/>
  <dimension ref="A1:AO70"/>
  <sheetViews>
    <sheetView tabSelected="1" workbookViewId="0">
      <selection activeCell="I15" sqref="I15"/>
    </sheetView>
  </sheetViews>
  <sheetFormatPr baseColWidth="10" defaultRowHeight="14.4" x14ac:dyDescent="0.3"/>
  <cols>
    <col min="3" max="3" width="14.6640625" customWidth="1"/>
    <col min="6" max="6" width="34.44140625" customWidth="1"/>
  </cols>
  <sheetData>
    <row r="1" spans="1:26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idden="1" x14ac:dyDescent="0.3">
      <c r="A7" s="1"/>
      <c r="B7" s="1"/>
      <c r="C7" s="1"/>
      <c r="D7" s="1"/>
      <c r="E7" s="1" t="s">
        <v>7</v>
      </c>
      <c r="F7" s="1" t="s">
        <v>8</v>
      </c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3">
      <c r="A9" s="1"/>
      <c r="B9" s="1"/>
      <c r="C9" s="1"/>
      <c r="D9" s="1"/>
      <c r="E9" s="6" t="s">
        <v>1</v>
      </c>
      <c r="F9" s="2" t="s">
        <v>14</v>
      </c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3">
      <c r="A10" s="1"/>
      <c r="B10" s="1"/>
      <c r="C10" s="1"/>
      <c r="D10" s="1"/>
      <c r="E10" s="7" t="s">
        <v>0</v>
      </c>
      <c r="F10" s="4" t="s">
        <v>16</v>
      </c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3">
      <c r="A11" s="1"/>
      <c r="B11" s="1"/>
      <c r="C11" s="1"/>
      <c r="D11" s="1"/>
      <c r="E11" s="7" t="s">
        <v>2</v>
      </c>
      <c r="F11" s="4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3">
      <c r="A12" s="1"/>
      <c r="B12" s="1"/>
      <c r="C12" s="1"/>
      <c r="D12" s="1"/>
      <c r="E12" s="7" t="s">
        <v>3</v>
      </c>
      <c r="F12" s="4" t="s">
        <v>10</v>
      </c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3">
      <c r="A13" s="1"/>
      <c r="B13" s="1"/>
      <c r="C13" s="1"/>
      <c r="D13" s="1"/>
      <c r="E13" s="7" t="s">
        <v>4</v>
      </c>
      <c r="F13" s="4" t="s">
        <v>11</v>
      </c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3">
      <c r="A14" s="1"/>
      <c r="B14" s="1"/>
      <c r="C14" s="1"/>
      <c r="D14" s="1"/>
      <c r="E14" s="7" t="s">
        <v>13</v>
      </c>
      <c r="F14" s="5" t="s">
        <v>12</v>
      </c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x14ac:dyDescent="0.3">
      <c r="A15" s="1"/>
      <c r="B15" s="1"/>
      <c r="C15" s="1"/>
      <c r="D15" s="1"/>
      <c r="E15" s="7" t="s">
        <v>6</v>
      </c>
      <c r="F15" s="3" t="s">
        <v>46</v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x14ac:dyDescent="0.3">
      <c r="A16" s="1"/>
      <c r="B16" s="1"/>
      <c r="C16" s="1"/>
      <c r="D16" s="1"/>
      <c r="E16" s="8" t="s">
        <v>5</v>
      </c>
      <c r="F16" s="40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x14ac:dyDescent="0.3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x14ac:dyDescent="0.3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3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41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41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41" x14ac:dyDescent="0.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41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41" hidden="1" x14ac:dyDescent="0.3">
      <c r="A37" s="1"/>
      <c r="B37" s="1"/>
      <c r="C37" t="s">
        <v>9</v>
      </c>
      <c r="D37" t="s">
        <v>2</v>
      </c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41" hidden="1" x14ac:dyDescent="0.3">
      <c r="A38" s="1"/>
      <c r="B38" s="1"/>
      <c r="D38" s="28" t="s">
        <v>80</v>
      </c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M38" t="s">
        <v>15</v>
      </c>
    </row>
    <row r="39" spans="1:41" hidden="1" x14ac:dyDescent="0.3">
      <c r="A39" s="1"/>
      <c r="B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N39" t="s">
        <v>17</v>
      </c>
    </row>
    <row r="40" spans="1:41" hidden="1" x14ac:dyDescent="0.3">
      <c r="A40" s="1"/>
      <c r="B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O40" t="s">
        <v>17</v>
      </c>
    </row>
    <row r="41" spans="1:41" hidden="1" x14ac:dyDescent="0.3">
      <c r="A41" s="1"/>
      <c r="B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41" hidden="1" x14ac:dyDescent="0.3">
      <c r="A42" s="1"/>
      <c r="B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41" hidden="1" x14ac:dyDescent="0.3">
      <c r="A43" s="1"/>
      <c r="B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41" hidden="1" x14ac:dyDescent="0.3">
      <c r="A44" s="1"/>
      <c r="B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41" hidden="1" x14ac:dyDescent="0.3">
      <c r="A45" s="1"/>
      <c r="B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41" hidden="1" x14ac:dyDescent="0.3">
      <c r="A46" s="1"/>
      <c r="B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41" hidden="1" x14ac:dyDescent="0.3">
      <c r="A47" s="1"/>
      <c r="B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41" hidden="1" x14ac:dyDescent="0.3">
      <c r="A48" s="1"/>
      <c r="B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idden="1" x14ac:dyDescent="0.3">
      <c r="A49" s="1"/>
      <c r="B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</sheetData>
  <dataValidations disablePrompts="1" count="2">
    <dataValidation type="list" errorStyle="warning" allowBlank="1" showInputMessage="1" showErrorMessage="1" errorTitle="Invalid template report" error="Invalid template report" promptTitle="Template" prompt="Select a report template" sqref="F15" xr:uid="{00000000-0002-0000-0000-000001000000}">
      <formula1>REPORT_TYPE_LIST</formula1>
    </dataValidation>
    <dataValidation type="list" allowBlank="1" showInputMessage="1" showErrorMessage="1" sqref="F16" xr:uid="{00000000-0002-0000-0000-000002000000}">
      <formula1>LEVEL_LIST</formula1>
    </dataValidation>
  </dataValidations>
  <hyperlinks>
    <hyperlink ref="F14" r:id="rId1" xr:uid="{00000000-0004-0000-0000-000000000000}"/>
  </hyperlinks>
  <pageMargins left="0.7" right="0.7" top="0.75" bottom="0.75" header="0.3" footer="0.3"/>
  <pageSetup paperSize="9" orientation="portrait" horizontalDpi="4294967293" r:id="rId2"/>
  <drawing r:id="rId3"/>
  <legacyDrawing r:id="rId4"/>
  <tableParts count="2">
    <tablePart r:id="rId5"/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FB0ED6-5745-4FA9-8D37-5FD53E448D50}">
  <sheetPr codeName="RT_NES_TI_v1"/>
  <dimension ref="A1:AF47"/>
  <sheetViews>
    <sheetView zoomScale="90" zoomScaleNormal="90" workbookViewId="0">
      <pane ySplit="1" topLeftCell="A2" activePane="bottomLeft" state="frozen"/>
      <selection activeCell="D30" sqref="D30"/>
      <selection pane="bottomLeft" activeCell="B33" sqref="B33"/>
    </sheetView>
  </sheetViews>
  <sheetFormatPr baseColWidth="10" defaultColWidth="11.5546875" defaultRowHeight="14.4" x14ac:dyDescent="0.3"/>
  <cols>
    <col min="1" max="1" width="4.6640625" style="9" customWidth="1"/>
    <col min="2" max="3" width="30.6640625" style="10" customWidth="1"/>
    <col min="4" max="4" width="19.44140625" style="10" bestFit="1" customWidth="1"/>
    <col min="5" max="5" width="30.6640625" style="10" customWidth="1"/>
    <col min="6" max="6" width="41.109375" style="9" customWidth="1"/>
    <col min="7" max="7" width="20.6640625" style="9" customWidth="1"/>
    <col min="8" max="8" width="16" style="9" customWidth="1"/>
    <col min="9" max="9" width="19.109375" style="9" customWidth="1"/>
    <col min="10" max="10" width="30.6640625" style="9" customWidth="1"/>
    <col min="11" max="11" width="14.44140625" style="9" customWidth="1"/>
    <col min="12" max="13" width="20.6640625" style="9" customWidth="1"/>
    <col min="14" max="15" width="16.88671875" style="9" customWidth="1"/>
    <col min="16" max="16" width="11.5546875" style="9"/>
    <col min="17" max="22" width="11.5546875" style="9" hidden="1" customWidth="1"/>
    <col min="23" max="23" width="18" style="9" hidden="1" customWidth="1"/>
    <col min="24" max="29" width="11.5546875" style="9" hidden="1" customWidth="1"/>
    <col min="30" max="30" width="56.33203125" style="9" hidden="1" customWidth="1"/>
    <col min="31" max="32" width="11.5546875" style="9" hidden="1" customWidth="1"/>
    <col min="33" max="16384" width="11.5546875" style="9"/>
  </cols>
  <sheetData>
    <row r="1" spans="1:16" ht="28.8" x14ac:dyDescent="0.3">
      <c r="A1" s="30" t="s">
        <v>44</v>
      </c>
      <c r="B1" s="30" t="s">
        <v>47</v>
      </c>
      <c r="C1" s="30" t="s">
        <v>48</v>
      </c>
      <c r="D1" s="31" t="s">
        <v>49</v>
      </c>
      <c r="E1" s="30" t="s">
        <v>50</v>
      </c>
      <c r="F1" s="30" t="s">
        <v>43</v>
      </c>
      <c r="G1" s="31" t="s">
        <v>51</v>
      </c>
      <c r="H1" s="30" t="s">
        <v>42</v>
      </c>
      <c r="I1" s="31" t="s">
        <v>52</v>
      </c>
      <c r="J1" s="30" t="s">
        <v>53</v>
      </c>
      <c r="K1" s="30" t="s">
        <v>54</v>
      </c>
      <c r="L1" s="31" t="s">
        <v>55</v>
      </c>
      <c r="M1" s="31" t="s">
        <v>56</v>
      </c>
      <c r="N1" s="30" t="s">
        <v>57</v>
      </c>
      <c r="O1" s="10"/>
    </row>
    <row r="2" spans="1:16" s="27" customFormat="1" hidden="1" x14ac:dyDescent="0.3">
      <c r="A2" s="23" t="s">
        <v>41</v>
      </c>
      <c r="B2" s="23" t="s">
        <v>40</v>
      </c>
      <c r="C2" s="23" t="s">
        <v>39</v>
      </c>
      <c r="D2" s="23" t="s">
        <v>38</v>
      </c>
      <c r="E2" s="23" t="s">
        <v>37</v>
      </c>
      <c r="F2" s="23" t="s">
        <v>36</v>
      </c>
      <c r="G2" s="23" t="s">
        <v>35</v>
      </c>
      <c r="H2" s="23" t="s">
        <v>34</v>
      </c>
      <c r="I2" s="23" t="s">
        <v>33</v>
      </c>
      <c r="J2" s="23" t="s">
        <v>32</v>
      </c>
      <c r="K2" s="23" t="s">
        <v>31</v>
      </c>
      <c r="L2" s="23" t="s">
        <v>30</v>
      </c>
      <c r="M2" s="23" t="s">
        <v>29</v>
      </c>
      <c r="N2" s="23" t="s">
        <v>28</v>
      </c>
      <c r="O2" s="23"/>
      <c r="P2" s="23"/>
    </row>
    <row r="3" spans="1:16" x14ac:dyDescent="0.3">
      <c r="A3" s="23"/>
      <c r="B3" s="32"/>
      <c r="C3" s="26"/>
      <c r="D3" s="33"/>
      <c r="E3" s="25"/>
      <c r="F3" s="24"/>
      <c r="G3" s="22" t="s">
        <v>27</v>
      </c>
      <c r="H3" s="22" t="s">
        <v>58</v>
      </c>
      <c r="I3" s="29" t="str">
        <f ca="1">INDIRECT(CONCATENATE(ADDRESS(CELL("ligne",NES_v1_matrix_Risque)+INDIRECT(CONCATENATE(ADDRESS(CELL("ligne",NES_v1_matrix_EI) - LEFT(Tableau2[[#This Row],[Impact ( I )]],1),CELL("colonne",NES_v1_matrix_EI) + LEFT(Tableau2[[#This Row],[Difficulté d''exploitation ( E )]],1)))),CELL("colonne",NES_v1_matrix_Risque))))</f>
        <v>4 - CRITIQUE</v>
      </c>
      <c r="J3" s="23"/>
      <c r="K3" s="23"/>
      <c r="L3" s="23"/>
      <c r="M3" s="22" t="s">
        <v>59</v>
      </c>
      <c r="N3" s="34" t="str">
        <f ca="1">INDIRECT(CONCATENATE(ADDRESS(CELL("ligne",NES_v1_matrix_Priorité)+INDIRECT(CONCATENATE(ADDRESS(CELL("ligne",NES_v1_matrix_DR) - LEFT(Tableau2[[#This Row],[Risque (E x I) 
= ( R )]],1),CELL("colonne",NES_v1_matrix_DR) + LEFT(Tableau2[[#This Row],[Difficulté de mise
 en place ( D )]],1)))),CELL("colonne",NES_v1_matrix_Priorité))))</f>
        <v>2 - MOYENNE</v>
      </c>
      <c r="O3" s="34"/>
    </row>
    <row r="26" spans="17:32" x14ac:dyDescent="0.3"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</row>
    <row r="27" spans="17:32" x14ac:dyDescent="0.3"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</row>
    <row r="28" spans="17:32" x14ac:dyDescent="0.3"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</row>
    <row r="29" spans="17:32" x14ac:dyDescent="0.3"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</row>
    <row r="30" spans="17:32" x14ac:dyDescent="0.3"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</row>
    <row r="31" spans="17:32" x14ac:dyDescent="0.3">
      <c r="Q31" s="11"/>
      <c r="R31" s="11"/>
      <c r="S31" s="11"/>
      <c r="T31" s="11"/>
      <c r="U31" s="11"/>
      <c r="V31" s="11"/>
      <c r="W31" s="11" t="s">
        <v>60</v>
      </c>
      <c r="X31" s="11"/>
      <c r="Y31" s="11"/>
      <c r="Z31" s="11"/>
      <c r="AA31" s="11"/>
      <c r="AB31" s="11"/>
      <c r="AD31" s="35" t="s">
        <v>61</v>
      </c>
      <c r="AE31" s="35" t="s">
        <v>26</v>
      </c>
      <c r="AF31" s="36" t="s">
        <v>45</v>
      </c>
    </row>
    <row r="32" spans="17:32" x14ac:dyDescent="0.3">
      <c r="Q32" s="41" t="s">
        <v>25</v>
      </c>
      <c r="R32" s="18">
        <v>4</v>
      </c>
      <c r="S32" s="18">
        <v>4</v>
      </c>
      <c r="T32" s="16">
        <v>3</v>
      </c>
      <c r="U32" s="13">
        <v>2</v>
      </c>
      <c r="V32" s="11"/>
      <c r="W32" s="20" t="s">
        <v>62</v>
      </c>
      <c r="X32" s="11"/>
      <c r="Y32" s="11"/>
      <c r="Z32" s="11"/>
      <c r="AA32" s="11"/>
      <c r="AB32" s="11"/>
      <c r="AD32" s="37" t="s">
        <v>24</v>
      </c>
      <c r="AE32" s="21" t="s">
        <v>58</v>
      </c>
      <c r="AF32" s="38" t="s">
        <v>80</v>
      </c>
    </row>
    <row r="33" spans="17:31" x14ac:dyDescent="0.3">
      <c r="Q33" s="41"/>
      <c r="R33" s="18">
        <v>4</v>
      </c>
      <c r="S33" s="16">
        <v>3</v>
      </c>
      <c r="T33" s="16">
        <v>3</v>
      </c>
      <c r="U33" s="13">
        <v>2</v>
      </c>
      <c r="V33" s="11"/>
      <c r="W33" s="19" t="s">
        <v>63</v>
      </c>
      <c r="X33" s="11"/>
      <c r="Y33" s="11"/>
      <c r="Z33" s="11"/>
      <c r="AA33" s="11"/>
      <c r="AB33" s="11"/>
      <c r="AD33" s="37" t="s">
        <v>64</v>
      </c>
      <c r="AE33" s="17" t="s">
        <v>65</v>
      </c>
    </row>
    <row r="34" spans="17:31" x14ac:dyDescent="0.3">
      <c r="Q34" s="41"/>
      <c r="R34" s="16">
        <v>3</v>
      </c>
      <c r="S34" s="13">
        <v>2</v>
      </c>
      <c r="T34" s="13">
        <v>2</v>
      </c>
      <c r="U34" s="12">
        <v>1</v>
      </c>
      <c r="V34" s="11"/>
      <c r="W34" s="17" t="s">
        <v>66</v>
      </c>
      <c r="X34" s="11"/>
      <c r="Y34" s="11"/>
      <c r="Z34" s="11"/>
      <c r="AA34" s="11"/>
      <c r="AB34" s="11"/>
      <c r="AD34" s="37" t="s">
        <v>23</v>
      </c>
      <c r="AE34" s="19" t="s">
        <v>67</v>
      </c>
    </row>
    <row r="35" spans="17:31" x14ac:dyDescent="0.3">
      <c r="Q35" s="41"/>
      <c r="R35" s="13">
        <v>2</v>
      </c>
      <c r="S35" s="12">
        <v>1</v>
      </c>
      <c r="T35" s="12">
        <v>1</v>
      </c>
      <c r="U35" s="12">
        <v>1</v>
      </c>
      <c r="V35" s="11"/>
      <c r="W35" s="14" t="s">
        <v>68</v>
      </c>
      <c r="X35" s="11"/>
      <c r="Y35" s="11"/>
      <c r="Z35" s="11"/>
      <c r="AA35" s="11"/>
      <c r="AB35" s="11"/>
      <c r="AD35" s="37" t="s">
        <v>69</v>
      </c>
      <c r="AE35" s="20" t="s">
        <v>70</v>
      </c>
    </row>
    <row r="36" spans="17:31" x14ac:dyDescent="0.3">
      <c r="Q36" s="11" t="s">
        <v>22</v>
      </c>
      <c r="R36" s="42" t="s">
        <v>21</v>
      </c>
      <c r="S36" s="42"/>
      <c r="T36" s="42"/>
      <c r="U36" s="42"/>
      <c r="V36" s="11"/>
      <c r="W36" s="11"/>
      <c r="X36" s="11"/>
      <c r="Y36" s="11"/>
      <c r="Z36" s="11"/>
      <c r="AA36" s="11"/>
      <c r="AB36" s="11"/>
      <c r="AD36" s="37" t="s">
        <v>71</v>
      </c>
    </row>
    <row r="37" spans="17:31" x14ac:dyDescent="0.3"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D37" s="37" t="s">
        <v>72</v>
      </c>
    </row>
    <row r="38" spans="17:31" x14ac:dyDescent="0.3">
      <c r="Q38" s="11"/>
      <c r="R38" s="11"/>
      <c r="S38" s="11"/>
      <c r="T38" s="11"/>
      <c r="U38" s="11"/>
      <c r="V38" s="11"/>
      <c r="W38" s="11" t="s">
        <v>54</v>
      </c>
      <c r="X38" s="11"/>
      <c r="Y38" s="11"/>
      <c r="Z38" s="11"/>
      <c r="AA38" s="11"/>
      <c r="AB38" s="11"/>
      <c r="AD38" s="37" t="s">
        <v>73</v>
      </c>
    </row>
    <row r="39" spans="17:31" x14ac:dyDescent="0.3">
      <c r="Q39" s="41" t="s">
        <v>20</v>
      </c>
      <c r="R39" s="15">
        <v>2</v>
      </c>
      <c r="S39" s="15">
        <v>3</v>
      </c>
      <c r="T39" s="15">
        <v>4</v>
      </c>
      <c r="U39" s="15">
        <v>4</v>
      </c>
      <c r="V39" s="11"/>
      <c r="W39" s="20" t="s">
        <v>74</v>
      </c>
      <c r="X39" s="11"/>
      <c r="Y39" s="18">
        <v>4</v>
      </c>
      <c r="Z39" s="18">
        <v>4</v>
      </c>
      <c r="AA39" s="16">
        <v>3</v>
      </c>
      <c r="AB39" s="13">
        <v>2</v>
      </c>
      <c r="AD39" s="37" t="s">
        <v>75</v>
      </c>
    </row>
    <row r="40" spans="17:31" x14ac:dyDescent="0.3">
      <c r="Q40" s="41"/>
      <c r="R40" s="15">
        <v>2</v>
      </c>
      <c r="S40" s="15">
        <v>3</v>
      </c>
      <c r="T40" s="15">
        <v>3</v>
      </c>
      <c r="U40" s="15">
        <v>4</v>
      </c>
      <c r="V40" s="11"/>
      <c r="W40" s="19" t="s">
        <v>76</v>
      </c>
      <c r="X40" s="11"/>
      <c r="Y40" s="18">
        <v>4</v>
      </c>
      <c r="Z40" s="16">
        <v>3</v>
      </c>
      <c r="AA40" s="16">
        <v>3</v>
      </c>
      <c r="AB40" s="13">
        <v>2</v>
      </c>
      <c r="AD40" s="37" t="s">
        <v>77</v>
      </c>
    </row>
    <row r="41" spans="17:31" x14ac:dyDescent="0.3">
      <c r="Q41" s="41"/>
      <c r="R41" s="15">
        <v>1</v>
      </c>
      <c r="S41" s="15">
        <v>2</v>
      </c>
      <c r="T41" s="15">
        <v>2</v>
      </c>
      <c r="U41" s="15">
        <v>3</v>
      </c>
      <c r="V41" s="11"/>
      <c r="W41" s="17" t="s">
        <v>78</v>
      </c>
      <c r="X41" s="11"/>
      <c r="Y41" s="16">
        <v>3</v>
      </c>
      <c r="Z41" s="13">
        <v>2</v>
      </c>
      <c r="AA41" s="13">
        <v>2</v>
      </c>
      <c r="AB41" s="12">
        <v>1</v>
      </c>
      <c r="AD41" s="37" t="s">
        <v>79</v>
      </c>
    </row>
    <row r="42" spans="17:31" x14ac:dyDescent="0.3">
      <c r="Q42" s="41"/>
      <c r="R42" s="15">
        <v>1</v>
      </c>
      <c r="S42" s="15">
        <v>1</v>
      </c>
      <c r="T42" s="15">
        <v>1</v>
      </c>
      <c r="U42" s="15">
        <v>2</v>
      </c>
      <c r="V42" s="11"/>
      <c r="W42" s="14" t="s">
        <v>58</v>
      </c>
      <c r="X42" s="11"/>
      <c r="Y42" s="13">
        <v>2</v>
      </c>
      <c r="Z42" s="12">
        <v>1</v>
      </c>
      <c r="AA42" s="12">
        <v>1</v>
      </c>
      <c r="AB42" s="12">
        <v>1</v>
      </c>
    </row>
    <row r="43" spans="17:31" x14ac:dyDescent="0.3">
      <c r="Q43" s="11" t="s">
        <v>19</v>
      </c>
      <c r="R43" s="42" t="s">
        <v>18</v>
      </c>
      <c r="S43" s="42"/>
      <c r="T43" s="42"/>
      <c r="U43" s="42"/>
      <c r="V43" s="11"/>
      <c r="W43" s="11"/>
      <c r="X43" s="11"/>
      <c r="Y43" s="11"/>
      <c r="Z43" s="11"/>
      <c r="AA43" s="11"/>
      <c r="AB43" s="11"/>
    </row>
    <row r="44" spans="17:31" x14ac:dyDescent="0.3"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</row>
    <row r="45" spans="17:31" x14ac:dyDescent="0.3"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</row>
    <row r="46" spans="17:31" x14ac:dyDescent="0.3">
      <c r="Q46" s="11"/>
      <c r="R46" s="11"/>
      <c r="S46" s="11"/>
      <c r="T46" s="39"/>
      <c r="U46" s="11"/>
      <c r="V46" s="11"/>
      <c r="W46" s="11"/>
      <c r="X46" s="11"/>
      <c r="Y46" s="11"/>
      <c r="Z46" s="11"/>
      <c r="AA46" s="11"/>
      <c r="AB46" s="11"/>
    </row>
    <row r="47" spans="17:31" x14ac:dyDescent="0.3"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</row>
  </sheetData>
  <mergeCells count="4">
    <mergeCell ref="Q32:Q35"/>
    <mergeCell ref="R36:U36"/>
    <mergeCell ref="Q39:Q42"/>
    <mergeCell ref="R43:U43"/>
  </mergeCells>
  <conditionalFormatting sqref="R32:U42">
    <cfRule type="cellIs" dxfId="27" priority="21" operator="equal">
      <formula>4</formula>
    </cfRule>
    <cfRule type="cellIs" dxfId="26" priority="22" operator="equal">
      <formula>3</formula>
    </cfRule>
    <cfRule type="cellIs" dxfId="25" priority="23" operator="equal">
      <formula>2</formula>
    </cfRule>
    <cfRule type="cellIs" dxfId="24" priority="24" operator="equal">
      <formula>1</formula>
    </cfRule>
  </conditionalFormatting>
  <conditionalFormatting sqref="Y39:AB42">
    <cfRule type="cellIs" dxfId="23" priority="17" operator="equal">
      <formula>4</formula>
    </cfRule>
    <cfRule type="cellIs" dxfId="22" priority="18" operator="equal">
      <formula>3</formula>
    </cfRule>
    <cfRule type="cellIs" dxfId="21" priority="19" operator="equal">
      <formula>2</formula>
    </cfRule>
    <cfRule type="cellIs" dxfId="20" priority="20" operator="equal">
      <formula>1</formula>
    </cfRule>
  </conditionalFormatting>
  <dataValidations count="5">
    <dataValidation type="list" allowBlank="1" showInputMessage="1" showErrorMessage="1" sqref="E3" xr:uid="{FD24D010-68B6-4A84-A6BB-3D4C0D1290F4}">
      <formula1>$AD$32:$AD$41</formula1>
    </dataValidation>
    <dataValidation type="list" allowBlank="1" showInputMessage="1" showErrorMessage="1" sqref="L3" xr:uid="{681525A3-0D1B-4ABB-A0AF-0BE9035A3644}">
      <formula1>"Modification d'architecture,Revue de code,Configuration / Revue de code,Gestion des mises à jour,Configuration Système,Configuration Réseau,Autre"</formula1>
    </dataValidation>
    <dataValidation type="list" allowBlank="1" showInputMessage="1" showErrorMessage="1" sqref="G3" xr:uid="{FF06B65C-8041-466C-99BE-C21F8EB19B35}">
      <formula1>"4 - TRIVIAL,3 - FACILE,2 - MOYENNE,1 - DIFFICILE"</formula1>
    </dataValidation>
    <dataValidation type="list" allowBlank="1" showInputMessage="1" showErrorMessage="1" sqref="H3" xr:uid="{3DDBD510-9B52-4BCB-AB72-427DE6745809}">
      <formula1>"4 - CRITIQUE,3 - DOMMAGEABLE,2 - NOTABLE,1 - FAIBLE"</formula1>
    </dataValidation>
    <dataValidation type="list" allowBlank="1" showInputMessage="1" showErrorMessage="1" sqref="M3" xr:uid="{B769CDCB-3B31-4116-949D-4BF8AAFEBF84}">
      <formula1>"4 - TRES DIFFICILE,3 - ELEVEE,2 - MOYENNE,1 - FAIBLE"</formula1>
    </dataValidation>
  </dataValidations>
  <pageMargins left="0.7" right="0.7" top="0.75" bottom="0.75" header="0.3" footer="0.3"/>
  <pageSetup paperSize="9" orientation="portrait" horizontalDpi="4294967295" verticalDpi="4294967295" r:id="rId1"/>
  <tableParts count="2">
    <tablePart r:id="rId2"/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25" operator="beginsWith" id="{C79621FC-053F-406A-BC14-58538C489DB2}">
            <xm:f>LEFT(G1,LEN("1 -"))="1 -"</xm:f>
            <xm:f>"1 -"</xm:f>
            <x14:dxf>
              <fill>
                <patternFill>
                  <bgColor rgb="FF00B050"/>
                </patternFill>
              </fill>
            </x14:dxf>
          </x14:cfRule>
          <x14:cfRule type="beginsWith" priority="26" operator="beginsWith" id="{DBD2582D-5750-436B-A6D1-E68FB4308D6C}">
            <xm:f>LEFT(G1,LEN("2 -"))="2 -"</xm:f>
            <xm:f>"2 -"</xm:f>
            <x14:dxf>
              <fill>
                <patternFill>
                  <bgColor rgb="FFFFFF00"/>
                </patternFill>
              </fill>
            </x14:dxf>
          </x14:cfRule>
          <x14:cfRule type="beginsWith" priority="27" operator="beginsWith" id="{04614510-0FC9-4AB8-BBCE-8B61E76BDD79}">
            <xm:f>LEFT(G1,LEN("3 -"))="3 -"</xm:f>
            <xm:f>"3 -"</xm:f>
            <x14:dxf>
              <fill>
                <patternFill>
                  <bgColor rgb="FFFFC000"/>
                </patternFill>
              </fill>
            </x14:dxf>
          </x14:cfRule>
          <x14:cfRule type="beginsWith" priority="28" operator="beginsWith" id="{B6DD0D2E-B446-45FC-AAE1-AAF5049B503F}">
            <xm:f>LEFT(G1,LEN("4 -"))="4 -"</xm:f>
            <xm:f>"4 -"</xm:f>
            <x14:dxf>
              <fill>
                <patternFill>
                  <bgColor rgb="FFFF0000"/>
                </patternFill>
              </fill>
            </x14:dxf>
          </x14:cfRule>
          <xm:sqref>M1:O1048576 G1:I1048576</xm:sqref>
        </x14:conditionalFormatting>
      </x14:conditionalFormattings>
    </ext>
  </extLst>
</worksheet>
</file>

<file path=customUI/customUI14.xml><?xml version="1.0" encoding="utf-8"?>
<!--
' PowerAuditor - A simple script to help report writing by https://github.com/1mm0rt41PC
'
' Filename: ribbon.txt
'
' This program is free software; you can redistribute it and/or modify
' it under the terms of the GNU General Public License as published by
' the Free Software Foundation; either version 2 of the License, or
' (at your option) any later version.
'
' This program is distributed in the hope that it will be useful,
' but WITHOUT ANY WARRANTY; without even the implied warranty of
' MERCHANTABILITY or FITNESS FOR A PARTICULAR PURPOSE.  See the
' GNU General Public License for more details.
'
' You should have received a copy of the GNU General Public License
' along with this program; see the file COPYING. If not, write to the
' Free Software Foundation, Inc., 675 Mass Ave, Cambridge, MA 02139, USA.
Tool: Custom UI Editor For Microsoft Office
>> https://silkyroad.developpez.com/excel/ruban/
Icons: https://bert-toolkit.com/imagemso-list.html
https://www.rondebruin.nl/win/s2/win001.htm
https://www.rondebruin.nl/win/s2/win003.htm
-->
<customUI xmlns="http://schemas.microsoft.com/office/2009/07/customui" onLoad="CustomRibbonTab.onLoad">
  <ribbon startFromScratch="false">
    <tabs>
      <tab id="PowerAuditor" label="PowerAuditor" insertBeforeQ="TabFormat">
        <group id="Reports" label="Reports" autoScale="true">
          <button id="FillExcelWithProof" label="Fill excel with proof" imageMso="TableAutoFormat" onAction="ThisWorkbook.fillExcelWithProof"/>
          <button id="ExportExcelToWordTemplate" label="Export Excel to Word" imageMso="HappyFace" onAction="ThisWorkbook.ExportExcelToWordTemplate"/>
          <button id="GenSynthesis" label="Generate synthesis" imageMso="ChartInsert" onAction="ThisWorkbook.genSynthesis"/>
          <button id="ExportFinalStaticsDocuments" label="Generate final RA/RD/XL" imageMso="PageOrientationPortraitLandscape" size="large" onAction="ThisWorkbook.exportFinalStaticsDocuments"/>
        </group>
        <group id="TeamSync" label="TeamSync" autoScale="true">
          <button id="ExportVulnToGit" label="Export vuln to git" imageMso="FileSaveAsWebPage" size="large" onAction="ThisWorkbook.exportVulnToGit"/>
        </group>
        <group id="Dev" label="Dev" autoScale="true">
          <button id="toProd" label="Send template to prod" getEnabled="CustomRibbonTab.isDevMode" imageMso="SendStatusReport" onAction="ThisWorkbook.toProd"/>
        </group>
        <group id="Version" label="Version" autoScale="true">
          <editBox id="PowerAuditorVersion" imageMso="OpenAttachedCalendar" label="PowerAuditor version" getText="CustomRibbonTab.getVersion" enabled="false" sizeString="99999999999999"/>
          <editBox id="TemplateVersion" imageMso="OpenAttachedCalendar" label="Template version" getText="CustomRibbonTab.getVersion" enabled="false" sizeString="99999999999999"/>
          <editBox id="VulnDBVersion" imageMso="OpenAttachedCalendar" label="VulnDB version" getText="CustomRibbonTab.LastUpdate" enabled="false" sizeString="99999999999999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18</vt:i4>
      </vt:variant>
    </vt:vector>
  </HeadingPairs>
  <TitlesOfParts>
    <vt:vector size="20" baseType="lpstr">
      <vt:lpstr>PowerAuditor</vt:lpstr>
      <vt:lpstr>NES_TI_v1-FR</vt:lpstr>
      <vt:lpstr>BEGIN_DATE</vt:lpstr>
      <vt:lpstr>CLIENT</vt:lpstr>
      <vt:lpstr>END_DATE</vt:lpstr>
      <vt:lpstr>LEVEL</vt:lpstr>
      <vt:lpstr>LEVEL_LIST</vt:lpstr>
      <vt:lpstr>'NES_TI_v1-FR'!NES_v1_matrix_DR</vt:lpstr>
      <vt:lpstr>'NES_TI_v1-FR'!NES_v1_matrix_EI</vt:lpstr>
      <vt:lpstr>'NES_TI_v1-FR'!NES_v1_matrix_Priorité</vt:lpstr>
      <vt:lpstr>'NES_TI_v1-FR'!NES_v1_matrix_Risque</vt:lpstr>
      <vt:lpstr>OWASP_T10_EN</vt:lpstr>
      <vt:lpstr>OWASP_T10_FR</vt:lpstr>
      <vt:lpstr>PowerAuditorVersion</vt:lpstr>
      <vt:lpstr>REPORT_TYPE</vt:lpstr>
      <vt:lpstr>REPORT_TYPE_LIST</vt:lpstr>
      <vt:lpstr>SCOPE</vt:lpstr>
      <vt:lpstr>TARGET</vt:lpstr>
      <vt:lpstr>TemplateVersion</vt:lpstr>
      <vt:lpstr>VERSION_DATE</vt:lpstr>
    </vt:vector>
  </TitlesOfParts>
  <Manager>1mm0rt41PC</Manager>
  <Company>1mm0rt41PC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Security audit of &lt;hidden&gt; for &lt;secret&gt; by 1mm0rt41PC v2019-06-03</dc:title>
  <dc:subject>Security audit of &lt;hidden&gt; for &lt;secret&gt; by 1mm0rt41PC v2019-06-03</dc:subject>
  <dc:creator>NUEL Guillaume</dc:creator>
  <cp:keywords/>
  <dc:description>Security audit of &lt;hidden&gt; for &lt;secret&gt; by 1mm0rt41PC v2019-06-03</dc:description>
  <cp:lastModifiedBy>1mm0rt41PC</cp:lastModifiedBy>
  <cp:revision>0</cp:revision>
  <dcterms:created xsi:type="dcterms:W3CDTF">2011-06-07T11:38:29Z</dcterms:created>
  <dcterms:modified xsi:type="dcterms:W3CDTF">2019-06-03T10:31:56Z</dcterms:modified>
  <cp:category>Audit Documents</cp:category>
</cp:coreProperties>
</file>