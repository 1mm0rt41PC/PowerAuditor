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D386459F-BF5C-405C-94E2-9C9E5E33FA8D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EN" sheetId="28" r:id="rId2"/>
  </sheets>
  <functionGroups builtInGroupCount="19"/>
  <externalReferences>
    <externalReference r:id="rId3"/>
  </externalReferences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'NES_TI_v1-EN'!$AE$26:$AE$29</definedName>
    <definedName name="NES_v1_matrix_DR" localSheetId="1">'NES_TI_v1-EN'!$Q$30</definedName>
    <definedName name="NES_v1_matrix_EI" localSheetId="1">'NES_TI_v1-EN'!$Q$37</definedName>
    <definedName name="NES_v1_matrix_Priority">'NES_TI_v1-EN'!$W$25</definedName>
    <definedName name="NES_v1_matrix_Risk">'NES_TI_v1-EN'!$W$32</definedName>
    <definedName name="OWASP_T10_EN" localSheetId="1">'NES_TI_v1-EN'!$AD$26:$AD$35</definedName>
    <definedName name="OWASP_T10_EN">PowerAuditor!$A$38:$A$47</definedName>
    <definedName name="OWASP_T10_FR">PowerAuditor!$B$38:$B$47</definedName>
    <definedName name="REPORT_TYPE">PowerAuditor!$F$15</definedName>
    <definedName name="REPORT_TYPE_LIST" localSheetId="1">[1]PowerAuditor!$C$39:$C$40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8" l="1"/>
  <c r="N3" i="28"/>
</calcChain>
</file>

<file path=xl/sharedStrings.xml><?xml version="1.0" encoding="utf-8"?>
<sst xmlns="http://schemas.openxmlformats.org/spreadsheetml/2006/main" count="84" uniqueCount="76">
  <si>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</si>
  <si>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</si>
  <si>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</si>
  <si>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</si>
  <si>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</si>
  <si>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</si>
  <si>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</si>
  <si>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</si>
  <si>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</si>
  <si>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</si>
  <si>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</si>
  <si>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</si>
  <si>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</si>
  <si>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</si>
  <si>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</si>
  <si>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</si>
  <si>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</si>
  <si>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</si>
  <si>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</si>
  <si>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</si>
  <si>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</si>
  <si>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</si>
  <si>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</si>
  <si>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</si>
  <si>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</si>
  <si>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</si>
  <si>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</si>
  <si>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</si>
  <si>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</si>
  <si>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</si>
  <si>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</si>
  <si>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</si>
  <si>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</si>
  <si>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</si>
  <si>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</si>
  <si>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</si>
  <si>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</si>
  <si>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</si>
  <si>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</si>
  <si>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</si>
  <si>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</si>
  <si>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</si>
  <si>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</si>
  <si>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</si>
  <si>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</si>
  <si>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</si>
  <si>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NES_TI_v1-EN</t>
  </si>
  <si>
    <t>Vulnerability name</t>
  </si>
  <si>
    <t>Account 
required</t>
  </si>
  <si>
    <t>Category</t>
  </si>
  <si>
    <t>Difficulty of 
exploitation ( E )</t>
  </si>
  <si>
    <t>Risk (E x I) 
= ( R )</t>
  </si>
  <si>
    <t>Remediation</t>
  </si>
  <si>
    <t>Type of 
remediation</t>
  </si>
  <si>
    <t>Level of effort ( D )</t>
  </si>
  <si>
    <t>Priority ( P )</t>
  </si>
  <si>
    <t>4 - CRITICAL</t>
  </si>
  <si>
    <t>Priority</t>
  </si>
  <si>
    <t>TOP TEN OWASP EN</t>
  </si>
  <si>
    <t>1 - BEST EFFORT</t>
  </si>
  <si>
    <t>2 - IMPORTANT</t>
  </si>
  <si>
    <t>A2 – Broken Authentication and Session Management</t>
  </si>
  <si>
    <t>3 - LOW</t>
  </si>
  <si>
    <t>3 - URGENT</t>
  </si>
  <si>
    <t>2 - MEDIUM</t>
  </si>
  <si>
    <t>4 - IMMEDIATELY</t>
  </si>
  <si>
    <t>A4 – Broken Access Control</t>
  </si>
  <si>
    <t>1 - HIGH</t>
  </si>
  <si>
    <t>A5 – Security Misconfiguration</t>
  </si>
  <si>
    <t>A6 – Sensitive Data Exposure</t>
  </si>
  <si>
    <t>A7 – Insufficient Attack Protection</t>
  </si>
  <si>
    <t>1 - LOW</t>
  </si>
  <si>
    <t>A8 – Cross-Site Request Forgery (CSRF)</t>
  </si>
  <si>
    <t>A9 – Using Components with Known Vulnerabilities</t>
  </si>
  <si>
    <t>3 - HIGH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</si>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</sst>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34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0" fillId="0" borderId="0" xfId="5"/>
    <xf numFmtId="0" fontId="50" fillId="0" borderId="0" xfId="5" applyAlignment="1">
      <alignment horizontal="center" vertical="center"/>
    </xf>
    <xf numFmtId="0" fontId="53" fillId="0" borderId="0" xfId="5" applyFont="1"/>
    <xf numFmtId="0" fontId="53" fillId="3" borderId="0" xfId="5" applyFont="1" applyFill="1" applyAlignment="1">
      <alignment horizontal="center" vertical="center"/>
    </xf>
    <xf numFmtId="0" fontId="53" fillId="4" borderId="0" xfId="5" applyFont="1" applyFill="1" applyAlignment="1">
      <alignment horizontal="center" vertical="center"/>
    </xf>
    <xf numFmtId="0" fontId="53" fillId="5" borderId="0" xfId="5" applyFont="1" applyFill="1"/>
    <xf numFmtId="0" fontId="53" fillId="6" borderId="0" xfId="5" applyFont="1" applyFill="1" applyAlignment="1">
      <alignment horizontal="center" vertical="center"/>
    </xf>
    <xf numFmtId="0" fontId="53" fillId="7" borderId="0" xfId="5" applyFont="1" applyFill="1" applyAlignment="1">
      <alignment horizontal="center" vertical="center"/>
    </xf>
    <xf numFmtId="0" fontId="53" fillId="7" borderId="0" xfId="5" applyFont="1" applyFill="1"/>
    <xf numFmtId="0" fontId="53" fillId="5" borderId="0" xfId="5" applyFont="1" applyFill="1" applyAlignment="1">
      <alignment horizontal="center" vertical="center"/>
    </xf>
    <xf numFmtId="0" fontId="54" fillId="8" borderId="7" xfId="5" applyFont="1" applyFill="1" applyBorder="1" applyAlignment="1">
      <alignment horizontal="left" vertical="center" wrapText="1" shrinkToFit="1"/>
    </xf>
    <xf numFmtId="0" fontId="53" fillId="3" borderId="0" xfId="5" applyFont="1" applyFill="1"/>
    <xf numFmtId="0" fontId="55" fillId="5" borderId="0" xfId="5" applyFont="1" applyFill="1"/>
    <xf numFmtId="0" fontId="56" fillId="9" borderId="0" xfId="5" applyFont="1" applyFill="1" applyAlignment="1">
      <alignment horizontal="center" vertical="center" wrapText="1" shrinkToFit="1"/>
    </xf>
    <xf numFmtId="0" fontId="50" fillId="0" borderId="0" xfId="5" applyAlignment="1">
      <alignment horizontal="center" vertical="center" wrapText="1" shrinkToFit="1"/>
    </xf>
    <xf numFmtId="0" fontId="50" fillId="0" borderId="0" xfId="5" applyAlignment="1">
      <alignment horizontal="left" vertical="center" wrapText="1" shrinkToFit="1"/>
    </xf>
    <xf numFmtId="0" fontId="53" fillId="0" borderId="0" xfId="5" applyFont="1" applyAlignment="1">
      <alignment horizontal="left" vertical="center" wrapText="1" shrinkToFit="1"/>
    </xf>
    <xf numFmtId="0" fontId="52" fillId="0" borderId="0" xfId="5" applyFont="1" applyAlignment="1">
      <alignment horizontal="center" vertical="center" wrapText="1" shrinkToFit="1"/>
    </xf>
    <xf numFmtId="0" fontId="50" fillId="0" borderId="0" xfId="5" applyAlignment="1">
      <alignment horizontal="center"/>
    </xf>
    <xf numFmtId="0" fontId="57" fillId="10" borderId="6" xfId="2" applyFont="1" applyFill="1" applyBorder="1" applyAlignment="1" applyProtection="1">
      <alignment horizontal="center"/>
      <protection locked="0"/>
    </xf>
    <xf numFmtId="0" fontId="50" fillId="0" borderId="0" xfId="5" applyAlignment="1">
      <alignment horizontal="center" vertical="center" wrapText="1"/>
    </xf>
    <xf numFmtId="0" fontId="56" fillId="0" borderId="0" xfId="5" applyFont="1" applyAlignment="1">
      <alignment horizontal="center" vertical="center" wrapText="1" shrinkToFit="1"/>
    </xf>
    <xf numFmtId="0" fontId="1" fillId="0" borderId="0" xfId="54"/>
    <xf numFmtId="0" fontId="53" fillId="0" borderId="0" xfId="5" applyFont="1" applyAlignment="1">
      <alignment horizontal="center" vertical="center" textRotation="90"/>
    </xf>
    <xf numFmtId="0" fontId="53" fillId="0" borderId="0" xfId="5" applyFont="1" applyAlignment="1">
      <alignment horizontal="center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SERMA-NES-myCli-PT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NES_TI_v1-EN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ECE03C-74BE-48D5-8361-497507D027C7}" name="Tableau22" displayName="Tableau22" ref="A1:N3" totalsRowShown="0" headerRowDxfId="15" dataDxfId="14">
  <autoFilter ref="A1:N3" xr:uid="{00000000-0009-0000-0100-000001000000}"/>
  <tableColumns count="14">
    <tableColumn id="1" xr3:uid="{655FFD72-BFF6-47FB-A33E-2AA0C83A1F9F}" name="Id #" dataDxfId="13"/>
    <tableColumn id="2" xr3:uid="{65341678-8781-4EDC-81E5-E66635B4155F}" name="Target" dataDxfId="12"/>
    <tableColumn id="3" xr3:uid="{6C27DC94-89A5-4CA0-A6B8-25B94544769C}" name="Vulnerability name" dataDxfId="11"/>
    <tableColumn id="4" xr3:uid="{3281E80C-2CEB-40FD-AD7A-C69455443007}" name="Account _x000a_required" dataDxfId="10"/>
    <tableColumn id="14" xr3:uid="{42CF00B7-A23F-4BE7-9543-53C4A8F9AE5B}" name="Category" dataDxfId="9"/>
    <tableColumn id="5" xr3:uid="{335A1A7F-61DC-4AC8-B4C2-81A53F9C3E06}" name="Description" dataDxfId="8"/>
    <tableColumn id="6" xr3:uid="{8C942CAD-B03E-4A03-9963-9B98831900CB}" name="Difficulty of _x000a_exploitation ( E )" dataDxfId="7"/>
    <tableColumn id="7" xr3:uid="{EF0C0BBF-5EC7-41B1-9CD7-A16242742108}" name="Impact ( I )" dataDxfId="6"/>
    <tableColumn id="8" xr3:uid="{9F4CD6E8-3F97-48AD-8F64-1875D497A6E5}" name="Risk (E x I) _x000a_= ( R )" dataDxfId="5">
      <calculatedColumnFormula>IF(OR(AND(H2="CRITICAL",OR(G2="TRIVIAL",G2="EASY")), AND(H2="HIGH",G2="TRIVIAL") ), "CRITICAL", IF(OR(AND(H2="LOW",OR(G2="SOPHISTICATED",G2="MEDIUM")),AND(H2="MEDIUM",G2="SOPHISTICATED")), "LOW", IF(OR(AND(H2="HIGH",OR(G2="EASY",G2="MEDIUM")),AND(H2="MEDIUM",G2="TRIVIAL"), AND(H2="CRITICAL",G2="MEDIUM")), "HIGH", "MEDIUM")))</calculatedColumnFormula>
    </tableColumn>
    <tableColumn id="9" xr3:uid="{66F10262-0BB7-456A-BBAD-828E346C4D51}" name="Remediation" dataDxfId="4"/>
    <tableColumn id="10" xr3:uid="{2DBBF3B4-2435-4568-BA0F-7F3A52A6EE8B}" name="Risk" dataDxfId="3"/>
    <tableColumn id="11" xr3:uid="{8A0F5C1C-4F8C-4067-B8A2-825C14CE5F9E}" name="Type of _x000a_remediation" dataDxfId="2"/>
    <tableColumn id="12" xr3:uid="{7C441D23-63AA-4342-9E6F-6D477D1640C7}" name="Level of effort ( D )" dataDxfId="1"/>
    <tableColumn id="13" xr3:uid="{589879C1-58B5-4278-A4C5-C7BCE5939FE3}" name="Priority ( P )" dataDxfId="0">
      <calculatedColumnFormula>IF(OR(AND(I2="CRITICAL",OR(M2="LOW",M2="MEDIUM")), AND(I2="HIGH",M2="LOW") ), "IMMEDIATELY", IF(OR(AND(I2="LOW",OR(M2="MEDIUM",M2="HIGH",M2="CRITICAL",)),AND(I2="MEDIUM",M2="CRITICAL")), "BEST EFFORT", IF(OR(AND(I2="HIGH",OR(M2="MEDIUM",M2="HIGH")),AND(I2="MEDIUM",M2="LOW"), AND(I2="CRITICAL",M2="HIGH")), "URGENT", "IMPORTANT")))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B636F9-468D-4FD2-90F3-664E9E0CAC4D}" name="Tableau2" displayName="Tableau2" ref="AD25:AE35" totalsRowShown="0">
  <autoFilter ref="AD25:AE35" xr:uid="{BBD77D54-1E6A-4A1D-A21A-B4AEDF894660}"/>
  <tableColumns count="2">
    <tableColumn id="1" xr3:uid="{F93313C0-80B8-48A7-9504-147E13112242}" name="TOP TEN OWASP EN"/>
    <tableColumn id="2" xr3:uid="{DBB69285-C7C7-4FFA-B802-ED0E8C8DCAA2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F21" sqref="F21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D99F9-01A1-4755-8637-D4570AB4D16A}">
  <sheetPr codeName="RT_NES_TI_v1"/>
  <dimension ref="A1:AE41"/>
  <sheetViews>
    <sheetView zoomScale="90" zoomScaleNormal="90" workbookViewId="0">
      <pane ySplit="1" topLeftCell="A2" activePane="bottomLeft" state="frozen"/>
      <selection activeCell="D30" sqref="D30"/>
      <selection pane="bottomLeft" activeCell="C19" sqref="C19"/>
    </sheetView>
  </sheetViews>
  <sheetFormatPr baseColWidth="10" defaultColWidth="11.5546875" defaultRowHeight="14.4" x14ac:dyDescent="0.3"/>
  <cols>
    <col min="1" max="1" width="4.5546875" style="9" customWidth="1"/>
    <col min="2" max="3" width="30.88671875" style="9" customWidth="1"/>
    <col min="4" max="4" width="9.109375" style="9" customWidth="1"/>
    <col min="5" max="5" width="30.88671875" style="9" customWidth="1"/>
    <col min="6" max="6" width="29.6640625" style="9" customWidth="1"/>
    <col min="7" max="7" width="20.88671875" style="9" customWidth="1"/>
    <col min="8" max="8" width="16" style="9" customWidth="1"/>
    <col min="9" max="9" width="20.44140625" style="9" customWidth="1"/>
    <col min="10" max="10" width="30.88671875" style="9" customWidth="1"/>
    <col min="11" max="11" width="14.44140625" style="9" customWidth="1"/>
    <col min="12" max="13" width="20.88671875" style="9" customWidth="1"/>
    <col min="14" max="14" width="16.33203125" style="9" bestFit="1" customWidth="1"/>
    <col min="15" max="16" width="11.5546875" style="9"/>
    <col min="17" max="22" width="11.5546875" style="9" hidden="1" customWidth="1"/>
    <col min="23" max="23" width="15.77734375" style="9" hidden="1" customWidth="1"/>
    <col min="24" max="29" width="11.5546875" style="9" hidden="1" customWidth="1"/>
    <col min="30" max="30" width="48.109375" style="9" hidden="1" customWidth="1"/>
    <col min="31" max="31" width="11.6640625" style="9" hidden="1" customWidth="1"/>
    <col min="32" max="16384" width="11.5546875" style="9"/>
  </cols>
  <sheetData>
    <row r="1" spans="1:15" ht="28.8" x14ac:dyDescent="0.3">
      <c r="A1" s="10" t="s">
        <v>45</v>
      </c>
      <c r="B1" s="10" t="s">
        <v>0</v>
      </c>
      <c r="C1" s="10" t="s">
        <v>47</v>
      </c>
      <c r="D1" s="29" t="s">
        <v>48</v>
      </c>
      <c r="E1" s="29" t="s">
        <v>49</v>
      </c>
      <c r="F1" s="10" t="s">
        <v>44</v>
      </c>
      <c r="G1" s="29" t="s">
        <v>50</v>
      </c>
      <c r="H1" s="10" t="s">
        <v>43</v>
      </c>
      <c r="I1" s="29" t="s">
        <v>51</v>
      </c>
      <c r="J1" s="10" t="s">
        <v>52</v>
      </c>
      <c r="K1" s="10" t="s">
        <v>26</v>
      </c>
      <c r="L1" s="29" t="s">
        <v>53</v>
      </c>
      <c r="M1" s="10" t="s">
        <v>54</v>
      </c>
      <c r="N1" s="10" t="s">
        <v>55</v>
      </c>
    </row>
    <row r="2" spans="1:15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</row>
    <row r="3" spans="1:15" x14ac:dyDescent="0.3">
      <c r="A3" s="23"/>
      <c r="B3" s="23"/>
      <c r="C3" s="26"/>
      <c r="D3" s="23"/>
      <c r="E3" s="25"/>
      <c r="F3" s="24"/>
      <c r="G3" s="22" t="s">
        <v>28</v>
      </c>
      <c r="H3" s="22" t="s">
        <v>56</v>
      </c>
      <c r="I3" s="30" t="str">
        <f ca="1">INDIRECT(CONCATENATE(ADDRESS(CELL("ligne",NES_v1_matrix_Risk)+INDIRECT(CONCATENATE(ADDRESS(CELL("ligne",NES_v1_matrix_EI) - LEFT(Tableau22[[#This Row],[Impact ( I )]],1),CELL("colonne", NES_v1_matrix_EI) + LEFT(Tableau22[[#This Row],[Difficulty of 
exploitation ( E )]],1)))),CELL("colonne",NES_v1_matrix_Risk))))</f>
        <v>4 - CRITICAL</v>
      </c>
      <c r="J3" s="23"/>
      <c r="K3" s="23"/>
      <c r="L3" s="23"/>
      <c r="M3" s="22" t="s">
        <v>56</v>
      </c>
      <c r="N3" s="30" t="str">
        <f ca="1">INDIRECT(CONCATENATE(ADDRESS(CELL("ligne",NES_v1_matrix_Priority)+INDIRECT(CONCATENATE(ADDRESS(CELL("ligne",NES_v1_matrix_DR) - LEFT(Tableau22[[#This Row],[Risk (E x I) 
= ( R )]],1),CELL("colonne", NES_v1_matrix_DR) + LEFT(Tableau22[[#This Row],[Level of effort ( D )]],1)))),CELL("colonne",NES_v1_matrix_Priority))))</f>
        <v>2 - IMPORTANT</v>
      </c>
    </row>
    <row r="23" spans="16:31" x14ac:dyDescent="0.3"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6:31" x14ac:dyDescent="0.3"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6:31" x14ac:dyDescent="0.3">
      <c r="P25" s="11"/>
      <c r="Q25" s="11"/>
      <c r="R25" s="11"/>
      <c r="S25" s="11"/>
      <c r="T25" s="11"/>
      <c r="U25" s="11"/>
      <c r="V25" s="11"/>
      <c r="W25" s="11" t="s">
        <v>57</v>
      </c>
      <c r="X25" s="11"/>
      <c r="Y25" s="11"/>
      <c r="Z25" s="11"/>
      <c r="AA25" s="11"/>
      <c r="AB25" s="11"/>
      <c r="AC25" s="11"/>
      <c r="AD25" s="31" t="s">
        <v>58</v>
      </c>
      <c r="AE25" s="9" t="s">
        <v>27</v>
      </c>
    </row>
    <row r="26" spans="16:31" x14ac:dyDescent="0.3">
      <c r="P26" s="11"/>
      <c r="Q26" s="32" t="s">
        <v>26</v>
      </c>
      <c r="R26" s="18">
        <v>4</v>
      </c>
      <c r="S26" s="18">
        <v>4</v>
      </c>
      <c r="T26" s="16">
        <v>3</v>
      </c>
      <c r="U26" s="13">
        <v>2</v>
      </c>
      <c r="V26" s="11"/>
      <c r="W26" s="20" t="s">
        <v>59</v>
      </c>
      <c r="X26" s="11"/>
      <c r="Y26" s="11"/>
      <c r="Z26" s="11"/>
      <c r="AA26" s="11"/>
      <c r="AB26" s="11"/>
      <c r="AC26" s="11"/>
      <c r="AD26" s="31" t="s">
        <v>25</v>
      </c>
      <c r="AE26" s="21" t="s">
        <v>56</v>
      </c>
    </row>
    <row r="27" spans="16:31" x14ac:dyDescent="0.3">
      <c r="P27" s="11"/>
      <c r="Q27" s="32"/>
      <c r="R27" s="18">
        <v>4</v>
      </c>
      <c r="S27" s="16">
        <v>3</v>
      </c>
      <c r="T27" s="16">
        <v>3</v>
      </c>
      <c r="U27" s="13">
        <v>2</v>
      </c>
      <c r="V27" s="11"/>
      <c r="W27" s="19" t="s">
        <v>60</v>
      </c>
      <c r="X27" s="11"/>
      <c r="Y27" s="11"/>
      <c r="Z27" s="11"/>
      <c r="AA27" s="11"/>
      <c r="AB27" s="11"/>
      <c r="AC27" s="11"/>
      <c r="AD27" s="31" t="s">
        <v>61</v>
      </c>
      <c r="AE27" s="17" t="s">
        <v>62</v>
      </c>
    </row>
    <row r="28" spans="16:31" x14ac:dyDescent="0.3">
      <c r="P28" s="11"/>
      <c r="Q28" s="32"/>
      <c r="R28" s="16">
        <v>3</v>
      </c>
      <c r="S28" s="13">
        <v>2</v>
      </c>
      <c r="T28" s="13">
        <v>2</v>
      </c>
      <c r="U28" s="12">
        <v>1</v>
      </c>
      <c r="V28" s="11"/>
      <c r="W28" s="17" t="s">
        <v>63</v>
      </c>
      <c r="X28" s="11"/>
      <c r="Y28" s="11"/>
      <c r="Z28" s="11"/>
      <c r="AA28" s="11"/>
      <c r="AB28" s="11"/>
      <c r="AC28" s="11"/>
      <c r="AD28" s="31" t="s">
        <v>24</v>
      </c>
      <c r="AE28" s="19" t="s">
        <v>64</v>
      </c>
    </row>
    <row r="29" spans="16:31" x14ac:dyDescent="0.3">
      <c r="P29" s="11"/>
      <c r="Q29" s="32"/>
      <c r="R29" s="13">
        <v>2</v>
      </c>
      <c r="S29" s="12">
        <v>1</v>
      </c>
      <c r="T29" s="12">
        <v>1</v>
      </c>
      <c r="U29" s="12">
        <v>1</v>
      </c>
      <c r="V29" s="11"/>
      <c r="W29" s="14" t="s">
        <v>65</v>
      </c>
      <c r="X29" s="11"/>
      <c r="Y29" s="11"/>
      <c r="Z29" s="11"/>
      <c r="AA29" s="11"/>
      <c r="AB29" s="11"/>
      <c r="AC29" s="11"/>
      <c r="AD29" s="31" t="s">
        <v>66</v>
      </c>
      <c r="AE29" s="20" t="s">
        <v>67</v>
      </c>
    </row>
    <row r="30" spans="16:31" x14ac:dyDescent="0.3">
      <c r="P30" s="11"/>
      <c r="Q30" s="11" t="s">
        <v>23</v>
      </c>
      <c r="R30" s="33" t="s">
        <v>22</v>
      </c>
      <c r="S30" s="33"/>
      <c r="T30" s="33"/>
      <c r="U30" s="33"/>
      <c r="V30" s="11"/>
      <c r="W30" s="11"/>
      <c r="X30" s="11"/>
      <c r="Y30" s="11"/>
      <c r="Z30" s="11"/>
      <c r="AA30" s="11"/>
      <c r="AB30" s="11"/>
      <c r="AC30" s="11"/>
      <c r="AD30" s="31" t="s">
        <v>68</v>
      </c>
    </row>
    <row r="31" spans="16:31" x14ac:dyDescent="0.3"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31" t="s">
        <v>69</v>
      </c>
    </row>
    <row r="32" spans="16:31" x14ac:dyDescent="0.3">
      <c r="P32" s="11"/>
      <c r="Q32" s="11"/>
      <c r="R32" s="11"/>
      <c r="S32" s="11"/>
      <c r="T32" s="11"/>
      <c r="U32" s="11"/>
      <c r="V32" s="11"/>
      <c r="W32" s="11" t="s">
        <v>26</v>
      </c>
      <c r="X32" s="11"/>
      <c r="Y32" s="11"/>
      <c r="Z32" s="11"/>
      <c r="AA32" s="11"/>
      <c r="AB32" s="11"/>
      <c r="AC32" s="11"/>
      <c r="AD32" s="31" t="s">
        <v>70</v>
      </c>
    </row>
    <row r="33" spans="16:30" x14ac:dyDescent="0.3">
      <c r="P33" s="11"/>
      <c r="Q33" s="32" t="s">
        <v>21</v>
      </c>
      <c r="R33" s="15">
        <v>2</v>
      </c>
      <c r="S33" s="15">
        <v>3</v>
      </c>
      <c r="T33" s="15">
        <v>4</v>
      </c>
      <c r="U33" s="15">
        <v>4</v>
      </c>
      <c r="V33" s="11"/>
      <c r="W33" s="20" t="s">
        <v>71</v>
      </c>
      <c r="X33" s="11"/>
      <c r="Y33" s="18">
        <v>4</v>
      </c>
      <c r="Z33" s="18">
        <v>4</v>
      </c>
      <c r="AA33" s="16">
        <v>3</v>
      </c>
      <c r="AB33" s="13">
        <v>2</v>
      </c>
      <c r="AC33" s="11"/>
      <c r="AD33" s="31" t="s">
        <v>72</v>
      </c>
    </row>
    <row r="34" spans="16:30" x14ac:dyDescent="0.3">
      <c r="P34" s="11"/>
      <c r="Q34" s="32"/>
      <c r="R34" s="15">
        <v>2</v>
      </c>
      <c r="S34" s="15">
        <v>3</v>
      </c>
      <c r="T34" s="15">
        <v>3</v>
      </c>
      <c r="U34" s="15">
        <v>4</v>
      </c>
      <c r="V34" s="11"/>
      <c r="W34" s="19" t="s">
        <v>64</v>
      </c>
      <c r="X34" s="11"/>
      <c r="Y34" s="18">
        <v>4</v>
      </c>
      <c r="Z34" s="16">
        <v>3</v>
      </c>
      <c r="AA34" s="16">
        <v>3</v>
      </c>
      <c r="AB34" s="13">
        <v>2</v>
      </c>
      <c r="AC34" s="11"/>
      <c r="AD34" s="31" t="s">
        <v>73</v>
      </c>
    </row>
    <row r="35" spans="16:30" x14ac:dyDescent="0.3">
      <c r="P35" s="11"/>
      <c r="Q35" s="32"/>
      <c r="R35" s="15">
        <v>1</v>
      </c>
      <c r="S35" s="15">
        <v>2</v>
      </c>
      <c r="T35" s="15">
        <v>2</v>
      </c>
      <c r="U35" s="15">
        <v>3</v>
      </c>
      <c r="V35" s="11"/>
      <c r="W35" s="17" t="s">
        <v>74</v>
      </c>
      <c r="X35" s="11"/>
      <c r="Y35" s="16">
        <v>3</v>
      </c>
      <c r="Z35" s="13">
        <v>2</v>
      </c>
      <c r="AA35" s="13">
        <v>2</v>
      </c>
      <c r="AB35" s="12">
        <v>1</v>
      </c>
      <c r="AC35" s="11"/>
      <c r="AD35" s="31" t="s">
        <v>75</v>
      </c>
    </row>
    <row r="36" spans="16:30" x14ac:dyDescent="0.3">
      <c r="P36" s="11"/>
      <c r="Q36" s="32"/>
      <c r="R36" s="15">
        <v>1</v>
      </c>
      <c r="S36" s="15">
        <v>1</v>
      </c>
      <c r="T36" s="15">
        <v>1</v>
      </c>
      <c r="U36" s="15">
        <v>2</v>
      </c>
      <c r="V36" s="11"/>
      <c r="W36" s="14" t="s">
        <v>56</v>
      </c>
      <c r="X36" s="11"/>
      <c r="Y36" s="13">
        <v>2</v>
      </c>
      <c r="Z36" s="12">
        <v>1</v>
      </c>
      <c r="AA36" s="12">
        <v>1</v>
      </c>
      <c r="AB36" s="12">
        <v>1</v>
      </c>
      <c r="AC36" s="11"/>
    </row>
    <row r="37" spans="16:30" x14ac:dyDescent="0.3">
      <c r="P37" s="11"/>
      <c r="Q37" s="11" t="s">
        <v>20</v>
      </c>
      <c r="R37" s="33" t="s">
        <v>19</v>
      </c>
      <c r="S37" s="33"/>
      <c r="T37" s="33"/>
      <c r="U37" s="33"/>
      <c r="V37" s="11"/>
      <c r="W37" s="11"/>
      <c r="X37" s="11"/>
      <c r="Y37" s="11"/>
      <c r="Z37" s="11"/>
      <c r="AA37" s="11"/>
      <c r="AB37" s="11"/>
      <c r="AC37" s="11"/>
    </row>
    <row r="38" spans="16:30" x14ac:dyDescent="0.3"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6:30" x14ac:dyDescent="0.3"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6:30" x14ac:dyDescent="0.3"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6:30" x14ac:dyDescent="0.3"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</sheetData>
  <mergeCells count="4">
    <mergeCell ref="Q26:Q29"/>
    <mergeCell ref="R30:U30"/>
    <mergeCell ref="Q33:Q36"/>
    <mergeCell ref="R37:U37"/>
  </mergeCells>
  <conditionalFormatting sqref="R26:U36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3:AB36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G3" xr:uid="{8D567CA1-BF26-4F79-880A-61068F5DB574}">
      <formula1>"4 - TRIVIAL, 3 - EASY, 2 - MEDIUM, 1 - SOPHISTICATED"</formula1>
    </dataValidation>
    <dataValidation type="list" allowBlank="1" showInputMessage="1" showErrorMessage="1" sqref="H3" xr:uid="{89089DDD-673C-4D60-BF2E-65619E30B518}">
      <formula1>"4 - CRITICAL, 3 - HIGH, 2 - MEDIUM, 1 - LOW"</formula1>
    </dataValidation>
    <dataValidation type="list" allowBlank="1" showInputMessage="1" showErrorMessage="1" sqref="M3" xr:uid="{DA7C8706-A2F2-4E42-901F-E5CAB62E1BBA}">
      <formula1>"4 - CRITICAL,3 - HIGH,2 - MEDIUM,1 - LOW"</formula1>
    </dataValidation>
    <dataValidation type="list" allowBlank="1" showInputMessage="1" showErrorMessage="1" sqref="L3" xr:uid="{875140E0-D8A5-4E1C-A33A-AABCFAF07921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E3" xr:uid="{5485D61D-6D33-48E8-955B-8A1AB82213EF}">
      <formula1>OWASP_T10_EN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DE7C145A-7BD2-4A7A-95BB-4D4086407A28}">
            <xm:f>LEFT(G1,LEN("1 - "))="1 - "</xm:f>
            <xm:f>"1 - "</xm:f>
            <x14:dxf>
              <fill>
                <patternFill>
                  <bgColor rgb="FF00B050"/>
                </patternFill>
              </fill>
            </x14:dxf>
          </x14:cfRule>
          <x14:cfRule type="beginsWith" priority="12" operator="beginsWith" id="{EEF12ECB-5D4C-4547-BE20-684FAA0CF6B3}">
            <xm:f>LEFT(G1,LEN("4 - "))="4 - "</xm:f>
            <xm:f>"4 - "</xm:f>
            <x14:dxf>
              <fill>
                <patternFill>
                  <bgColor rgb="FFFF00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0" operator="beginsWith" id="{7595E0C1-C830-449A-AC9D-D7EF14DA8A9A}">
            <xm:f>LEFT(G1,LEN("2 - "))="2 - "</xm:f>
            <xm:f>"2 - "</xm:f>
            <x14:dxf>
              <fill>
                <patternFill>
                  <bgColor rgb="FFFFFF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1" operator="beginsWith" id="{5840E183-1540-48E3-906C-61E7B1F3A43D}">
            <xm:f>LEFT(G1,LEN("3 - "))="3 - "</xm:f>
            <xm:f>"3 - "</xm:f>
            <x14:dxf>
              <fill>
                <patternFill>
                  <bgColor rgb="FFFFC000"/>
                </patternFill>
              </fill>
            </x14:dxf>
          </x14:cfRule>
          <xm:sqref>M1:N1048576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17</vt:i4>
      </vt:variant>
    </vt:vector>
  </HeadingPairs>
  <TitlesOfParts>
    <vt:vector size="19" baseType="lpstr">
      <vt:lpstr>PowerAuditor</vt:lpstr>
      <vt:lpstr>NES_TI_v1-EN</vt:lpstr>
      <vt:lpstr>BEGIN_DATE</vt:lpstr>
      <vt:lpstr>CLIENT</vt:lpstr>
      <vt:lpstr>END_DATE</vt:lpstr>
      <vt:lpstr>LEVEL</vt:lpstr>
      <vt:lpstr>LEVEL_LIST</vt:lpstr>
      <vt:lpstr>'NES_TI_v1-EN'!NES_v1_matrix_DR</vt:lpstr>
      <vt:lpstr>'NES_TI_v1-EN'!NES_v1_matrix_EI</vt:lpstr>
      <vt:lpstr>NES_v1_matrix_Priority</vt:lpstr>
      <vt:lpstr>NES_v1_matrix_Risk</vt:lpstr>
      <vt:lpstr>'NES_TI_v1-EN'!OWASP_T10_EN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2019-04-17T14:22:26Z</dcterms:modified>
  <cp:category>Audit Documents</cp:category>
</cp:coreProperties>
</file>