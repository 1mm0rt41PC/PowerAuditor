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A3F8ADB0-7409-4819-9F4C-D49AA6EC5695}" xr6:coauthVersionLast="43" xr6:coauthVersionMax="43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CASA_TI_v1-FR" sheetId="12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'CASA_TI_v1-FR'!$AO$43:$AO$46</definedName>
    <definedName name="NES_v1_matrix_DR">'CASA_TI_v1-FR'!$AA$47</definedName>
    <definedName name="NES_v1_matrix_EI">'CASA_TI_v1-FR'!$AA$54</definedName>
    <definedName name="NES_v1_matrix_Priorité">'CASA_TI_v1-FR'!$AG$42</definedName>
    <definedName name="NES_v1_matrix_Risque">'CASA_TI_v1-FR'!$AG$49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TemplateVersion">'CASA_TI_v1-FR'!$AP$43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" i="12" l="1"/>
  <c r="P3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<sst xmlns="http://schemas.openxmlformats.org/spreadsheetml/2006/main" count="170" uniqueCount="154">
  <si>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</si>
  <si>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</si>
  <si>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</si>
  <si>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</si>
  <si>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</si>
  <si>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</si>
  <si>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</si>
  <si>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</si>
  <si>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</si>
  <si>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</si>
  <si>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</si>
  <si>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</si>
  <si>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</si>
  <si>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</si>
  <si>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</si>
  <si>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</si>
  <si>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</si>
  <si>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</si>
  <si>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Id #</t>
  </si>
  <si>
    <t>Cible</t>
  </si>
  <si>
    <t>Vulnérabilité</t>
  </si>
  <si>
    <t>Compte
requis</t>
  </si>
  <si>
    <t>Catégorie</t>
  </si>
  <si>
    <t>Description</t>
  </si>
  <si>
    <t>Difficulté d'exploitation ( E )</t>
  </si>
  <si>
    <t>Impact ( I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</si>
  <si>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</si>
  <si>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</si>
  <si>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</si>
  <si>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</si>
  <si>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</si>
  <si>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</si>
  <si>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id</t>
  </si>
  <si>
    <t>target</t>
  </si>
  <si>
    <t>name</t>
  </si>
  <si>
    <t>account</t>
  </si>
  <si>
    <t>category</t>
  </si>
  <si>
    <t>desc</t>
  </si>
  <si>
    <t>E</t>
  </si>
  <si>
    <t>I</t>
  </si>
  <si>
    <t>R</t>
  </si>
  <si>
    <t>fix</t>
  </si>
  <si>
    <t>risk</t>
  </si>
  <si>
    <t>fixtype</t>
  </si>
  <si>
    <t>D</t>
  </si>
  <si>
    <t>P</t>
  </si>
  <si>
    <t>4 - CRITIQUE</t>
  </si>
  <si>
    <t>Priorité</t>
  </si>
  <si>
    <t>TOP TEN OWASP FR</t>
  </si>
  <si>
    <t>LEVEL</t>
  </si>
  <si>
    <t>VERSION</t>
  </si>
  <si>
    <t>Risk</t>
  </si>
  <si>
    <t>1 - BASSE</t>
  </si>
  <si>
    <t>A1 – Injection</t>
  </si>
  <si>
    <t>2 - MOYENNE</t>
  </si>
  <si>
    <t>A2 – Violation de gestion d'authentification et de session</t>
  </si>
  <si>
    <t>3 - URGENTE</t>
  </si>
  <si>
    <t>A3 – Cross-Site Scripting (XSS)</t>
  </si>
  <si>
    <t>4 - IMMEDIATE</t>
  </si>
  <si>
    <t>A4 – Violation de contrôle d'accès</t>
  </si>
  <si>
    <t>DR</t>
  </si>
  <si>
    <t>Diff reco</t>
  </si>
  <si>
    <t>A5 – Mauvaise configuration de sécurité</t>
  </si>
  <si>
    <t>A6 – Exposition de données sensibles</t>
  </si>
  <si>
    <t>A7 – Protection insuffisante contre les attaques</t>
  </si>
  <si>
    <t>Impact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</si>
  <si>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</si>
  <si>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</si>
  <si>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</si>
  <si>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</si>
  <si>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</si>
  <si>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</si>
  <si>
    <t>EI</t>
  </si>
  <si>
    <t>Exploitation</t>
  </si>
  <si>
    <t>CASA_TI_v1-FR</t>
  </si>
  <si>
    <t>Exposé sur internet</t>
  </si>
  <si>
    <t>CVSS</t>
  </si>
  <si>
    <t>exposition</t>
  </si>
  <si>
    <t>OUI</t>
  </si>
  <si>
    <t>NON</t>
  </si>
  <si>
    <t>3 - UTILISATEUR</t>
  </si>
  <si>
    <t>3 - MOYEN</t>
  </si>
  <si>
    <t>2 - FAIBLE</t>
  </si>
  <si>
    <t>1 - NULL</t>
  </si>
  <si>
    <t>cvss</t>
  </si>
  <si>
    <t>CATEGORY</t>
  </si>
  <si>
    <t>Exposition - Composant d'admnistration accessible (ex: Manager Tomcat)</t>
  </si>
  <si>
    <t>Exposition - Service d'administration (SSH, RDP, BDD) accessible</t>
  </si>
  <si>
    <t>Exposition - Service par défaut accessible</t>
  </si>
  <si>
    <t>----------------------------------------------------------------------</t>
  </si>
  <si>
    <t>Divulgation - IP interne révelée</t>
  </si>
  <si>
    <t>Divulgation - Hostname interne révélé</t>
  </si>
  <si>
    <t>Divulgation - Enumération des utilisateurs</t>
  </si>
  <si>
    <t>Divulgation - Numéro de version (CWE-200)</t>
  </si>
  <si>
    <t>Divulgation - Message d'erreur verbeux (CWE-209)</t>
  </si>
  <si>
    <t>Divulgation - Code non obfusqué</t>
  </si>
  <si>
    <t>Divulgation - Directory Listing activé (CWE-548)</t>
  </si>
  <si>
    <t>Password - Secret stocké en clair (CWE-257, CWE-256)</t>
  </si>
  <si>
    <t>Password - Divulgation de secret (CWE-522)</t>
  </si>
  <si>
    <t>Password - Secret dans l'url  (CWE-523)</t>
  </si>
  <si>
    <t>Password - Politique de mot de passe faible</t>
  </si>
  <si>
    <t>Password - Chiffrement des secrets peu robuste (CWE-261)</t>
  </si>
  <si>
    <t>Password - Mécanisme mot de passe oublié non sécurisé (CWE-640)</t>
  </si>
  <si>
    <t>Password - Absence de vérification du mot de passe lors du changement de mot de passe (CWE-620)</t>
  </si>
  <si>
    <t>Patch - Fonction présentant des vulnérabilités connues</t>
  </si>
  <si>
    <t>Patch - Composant comportant une vulnérabilité majeure (CVSS&gt;=7)</t>
  </si>
  <si>
    <t>Patch - Composant comportant une vulnérabilité non majeure (CVSS&lt;7)</t>
  </si>
  <si>
    <t>Patch - Composant obsolète</t>
  </si>
  <si>
    <t>Authentication - Contournement de l'authentification (CWE-287)</t>
  </si>
  <si>
    <t>Authentication - Elevation de privileges</t>
  </si>
  <si>
    <t>Authentication - Parametres httpOnly et Secure absents des cookies de session</t>
  </si>
  <si>
    <t>Authentication - Incapacité à invalider les cookies</t>
  </si>
  <si>
    <t>Authentication - Durée de session trop longue (CWE-613)</t>
  </si>
  <si>
    <t>Authentication - Messages d'erreur non différenciés (CWE-200)</t>
  </si>
  <si>
    <t>Access - Référence directe d'objet non sécurisée (CWE-639)</t>
  </si>
  <si>
    <t>Access - Contrôle d'accès absent sur certaines pages</t>
  </si>
  <si>
    <t>Access - Défaut de cloisonnement vertical</t>
  </si>
  <si>
    <t>Access - Défaut de cloisonnement horizontal</t>
  </si>
  <si>
    <t>Access - Fonction de contrôle vulnérable au bruteforce (CWE-307)</t>
  </si>
  <si>
    <t>Access - CSRF sur des actions déconnectées</t>
  </si>
  <si>
    <t>Access - CSRF sur des actions connectées</t>
  </si>
  <si>
    <t>Access - CSRF sur la déconnexion</t>
  </si>
  <si>
    <t>Access - Détournement fonctionnel (CWE-840)</t>
  </si>
  <si>
    <t>Inputs - SQL Injection (CWE-89)</t>
  </si>
  <si>
    <t>Inputs - CSV Injection</t>
  </si>
  <si>
    <t>Inputs - File Inclusion (CWE-98)</t>
  </si>
  <si>
    <t>Inputs - Path Traversal (CWE-22)</t>
  </si>
  <si>
    <t>Inputs - Erreur SQL non exploitée</t>
  </si>
  <si>
    <t>Inputs - Absence de contrôle sur l'upload de fichier</t>
  </si>
  <si>
    <t>Inputs - Injection HTML dans un email</t>
  </si>
  <si>
    <t>Inputs - XML External Entities (XXE) (CWE-611)</t>
  </si>
  <si>
    <t>Inputs - Server-Side Request Forgery (SSRF) (CWE-918)</t>
  </si>
  <si>
    <t>Inputs - Deserialization de donnée non sécurisée (CWE-502)</t>
  </si>
  <si>
    <t>Inputs - Cross-site Scripting (XSS) - DOM (CWE-79)</t>
  </si>
  <si>
    <t>Inputs - Cross-site Scripting (XSS) - Reflected (CWE-79)</t>
  </si>
  <si>
    <t>Inputs - Cross-site Scripting (XSS) - Stored (CWE-79)</t>
  </si>
  <si>
    <t>Inputs - Open Redirect (CWE-601)</t>
  </si>
  <si>
    <t>Inputs - Exécution de code à distance (RCE) (CWE-94)</t>
  </si>
  <si>
    <t>SSL - Transport de secrets non protégés (CWE-523)</t>
  </si>
  <si>
    <t>SSL - Utilisation d'algorithmes de chiffrement faibles (CWE-327)</t>
  </si>
  <si>
    <t>SSL - Insecure Transmission of Sensitive Information (CWE-319)</t>
  </si>
  <si>
    <t>SSL - Chiffrement non securisé - Généric (CWE-310)</t>
  </si>
  <si>
    <t>SSL - Man-in-the-Middle (CWE-300)</t>
  </si>
  <si>
    <t>SSL - Potential unsafe http method enabled (CWE-644)</t>
  </si>
  <si>
    <t>SSL - Entête de securité manquant</t>
  </si>
  <si>
    <t>Data - Stockage non sécurisé de données clientes (CWE-922)</t>
  </si>
  <si>
    <t>Data - Fuite de données clientes</t>
  </si>
  <si>
    <t>Data - Données clientes non anonymisées hors production</t>
  </si>
  <si>
    <t>Misconfiguration - Logging insuffisant</t>
  </si>
  <si>
    <t>Misconfiguration - Absence de logging</t>
  </si>
  <si>
    <t>Misconfiguration - Logging uniquement en local</t>
  </si>
  <si>
    <t>Misconfiguration - Composant vulnérable au dénis de service (CWE-400)</t>
  </si>
  <si>
    <t>Misconfiguration - Violation des principes de conception sécurisée (CWE-657)</t>
  </si>
  <si>
    <t>2019-07-2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</si>
</sst>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3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11"/>
      <color theme="0"/>
      <name val="Calibri"/>
      <family val="2"/>
      <charset val="1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b/>
      <u/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rgb="FFFF99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90">
    <xf numFmtId="0" fontId="0" fillId="0" borderId="0"/>
    <xf numFmtId="0" fontId="77" fillId="0" borderId="0"/>
    <xf numFmtId="0" fontId="78" fillId="0" borderId="0"/>
    <xf numFmtId="0" fontId="79" fillId="0" borderId="0" applyNumberFormat="0" applyFill="0" applyBorder="0" applyAlignment="0" applyProtection="0">
      <alignment vertical="top"/>
      <protection locked="0"/>
    </xf>
    <xf numFmtId="0" fontId="76" fillId="0" borderId="0"/>
    <xf numFmtId="0" fontId="80" fillId="0" borderId="0"/>
    <xf numFmtId="0" fontId="75" fillId="0" borderId="0"/>
    <xf numFmtId="0" fontId="74" fillId="0" borderId="0"/>
    <xf numFmtId="0" fontId="73" fillId="0" borderId="0"/>
    <xf numFmtId="0" fontId="81" fillId="0" borderId="0" applyNumberFormat="0" applyFill="0" applyBorder="0" applyAlignment="0" applyProtection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81" fillId="0" borderId="0" applyNumberFormat="0" applyFill="0" applyBorder="0" applyAlignment="0" applyProtection="0"/>
    <xf numFmtId="0" fontId="1" fillId="0" borderId="0"/>
  </cellStyleXfs>
  <cellXfs count="39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81" fillId="0" borderId="4" xfId="9" applyBorder="1" applyAlignment="1">
      <alignment horizontal="center" vertical="center"/>
    </xf>
    <xf numFmtId="0" fontId="82" fillId="0" borderId="1" xfId="0" applyFont="1" applyBorder="1"/>
    <xf numFmtId="0" fontId="82" fillId="0" borderId="3" xfId="0" applyFont="1" applyBorder="1"/>
    <xf numFmtId="0" fontId="82" fillId="0" borderId="5" xfId="0" applyFont="1" applyBorder="1"/>
    <xf numFmtId="49" fontId="0" fillId="0" borderId="0" xfId="0" applyNumberFormat="1"/>
    <xf numFmtId="0" fontId="87" fillId="0" borderId="0" xfId="5" applyFont="1" applyAlignment="1">
      <alignment horizontal="center" vertical="center"/>
    </xf>
    <xf numFmtId="0" fontId="87" fillId="0" borderId="0" xfId="5" applyFont="1" applyAlignment="1">
      <alignment horizontal="center" vertical="center" wrapText="1"/>
    </xf>
    <xf numFmtId="0" fontId="80" fillId="0" borderId="0" xfId="5"/>
    <xf numFmtId="0" fontId="80" fillId="0" borderId="0" xfId="5" applyAlignment="1">
      <alignment horizontal="center" vertical="center" wrapText="1" shrinkToFit="1"/>
    </xf>
    <xf numFmtId="0" fontId="82" fillId="0" borderId="0" xfId="5" applyFont="1" applyAlignment="1">
      <alignment horizontal="center" vertical="center" wrapText="1" shrinkToFit="1"/>
    </xf>
    <xf numFmtId="0" fontId="88" fillId="0" borderId="0" xfId="5" applyFont="1" applyAlignment="1">
      <alignment horizontal="left" vertical="center" wrapText="1" shrinkToFit="1"/>
    </xf>
    <xf numFmtId="0" fontId="80" fillId="0" borderId="0" xfId="5" applyAlignment="1">
      <alignment horizontal="left" vertical="center" wrapText="1" shrinkToFit="1"/>
    </xf>
    <xf numFmtId="0" fontId="88" fillId="0" borderId="0" xfId="5" applyFont="1"/>
    <xf numFmtId="0" fontId="86" fillId="0" borderId="0" xfId="5" applyFont="1"/>
    <xf numFmtId="0" fontId="88" fillId="4" borderId="0" xfId="5" applyFont="1" applyFill="1" applyAlignment="1">
      <alignment horizontal="center" vertical="center"/>
    </xf>
    <xf numFmtId="0" fontId="88" fillId="5" borderId="0" xfId="5" applyFont="1" applyFill="1" applyAlignment="1">
      <alignment horizontal="center" vertical="center"/>
    </xf>
    <xf numFmtId="0" fontId="88" fillId="6" borderId="0" xfId="5" applyFont="1" applyFill="1" applyAlignment="1">
      <alignment horizontal="center" vertical="center"/>
    </xf>
    <xf numFmtId="0" fontId="88" fillId="7" borderId="0" xfId="5" applyFont="1" applyFill="1"/>
    <xf numFmtId="0" fontId="90" fillId="4" borderId="0" xfId="5" applyFont="1" applyFill="1"/>
    <xf numFmtId="49" fontId="0" fillId="0" borderId="0" xfId="5" applyNumberFormat="1" applyFont="1"/>
    <xf numFmtId="0" fontId="91" fillId="8" borderId="7" xfId="5" applyFont="1" applyFill="1" applyBorder="1" applyAlignment="1">
      <alignment horizontal="left" vertical="center" wrapText="1" shrinkToFit="1"/>
    </xf>
    <xf numFmtId="0" fontId="88" fillId="5" borderId="0" xfId="5" applyFont="1" applyFill="1"/>
    <xf numFmtId="0" fontId="88" fillId="7" borderId="0" xfId="5" applyFont="1" applyFill="1" applyAlignment="1">
      <alignment horizontal="center" vertical="center"/>
    </xf>
    <xf numFmtId="0" fontId="88" fillId="4" borderId="0" xfId="5" applyFont="1" applyFill="1"/>
    <xf numFmtId="0" fontId="88" fillId="9" borderId="0" xfId="5" applyFont="1" applyFill="1" applyAlignment="1">
      <alignment horizontal="center" vertical="center"/>
    </xf>
    <xf numFmtId="0" fontId="80" fillId="0" borderId="0" xfId="5" applyAlignment="1">
      <alignment horizontal="center" vertical="center" wrapText="1"/>
    </xf>
    <xf numFmtId="0" fontId="89" fillId="3" borderId="8" xfId="5" applyFont="1" applyFill="1" applyBorder="1" applyAlignment="1">
      <alignment horizontal="center" vertical="center" wrapText="1" shrinkToFit="1"/>
    </xf>
    <xf numFmtId="0" fontId="90" fillId="10" borderId="0" xfId="5" applyFont="1" applyFill="1"/>
    <xf numFmtId="0" fontId="92" fillId="0" borderId="0" xfId="88" applyFont="1" applyAlignment="1">
      <alignment horizontal="center" vertical="center"/>
    </xf>
    <xf numFmtId="0" fontId="86" fillId="0" borderId="0" xfId="89" applyFont="1"/>
    <xf numFmtId="0" fontId="1" fillId="0" borderId="0" xfId="89"/>
    <xf numFmtId="0" fontId="85" fillId="5" borderId="6" xfId="2" applyFont="1" applyFill="1" applyBorder="1" applyAlignment="1" applyProtection="1">
      <alignment horizontal="center"/>
      <protection locked="0"/>
    </xf>
    <xf numFmtId="0" fontId="88" fillId="0" borderId="0" xfId="5" applyFont="1" applyAlignment="1">
      <alignment horizontal="center" vertical="center" textRotation="90"/>
    </xf>
    <xf numFmtId="0" fontId="88" fillId="0" borderId="0" xfId="5" applyFont="1" applyAlignment="1">
      <alignment horizontal="center"/>
    </xf>
  </cellXfs>
  <cellStyles count="90">
    <cellStyle name="Lien hypertexte" xfId="9" builtinId="8"/>
    <cellStyle name="Lien hypertexte 2" xfId="3" xr:uid="{00000000-0005-0000-0000-000001000000}"/>
    <cellStyle name="Lien hypertexte 2 2" xfId="88" xr:uid="{DF01CA78-3EA9-470F-8608-0C3D91810A24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2 2 2 2" xfId="87" xr:uid="{11A9CEEE-3AED-4790-838F-017AFE6103F4}"/>
    <cellStyle name="Normal 13 3 2 2 2 2 11 4 2 2 4 2 2 4 3 2 2 2 2 2" xfId="89" xr:uid="{FF5BB27A-DB93-46AF-A889-CDAA59413DEC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58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numFmt numFmtId="164" formatCode="0.0&quot; - CRITIQUE&quot;"/>
      <fill>
        <patternFill>
          <bgColor theme="1"/>
        </patternFill>
      </fill>
    </dxf>
    <dxf>
      <numFmt numFmtId="165" formatCode="0.0&quot; - DOMMAGEABLE&quot;"/>
      <fill>
        <patternFill>
          <bgColor rgb="FFFF0000"/>
        </patternFill>
      </fill>
    </dxf>
    <dxf>
      <numFmt numFmtId="166" formatCode="0.0&quot; - NOTABLE&quot;"/>
      <fill>
        <patternFill>
          <bgColor rgb="FFFFFF00"/>
        </patternFill>
      </fill>
    </dxf>
    <dxf>
      <numFmt numFmtId="167" formatCode="0.0&quot; - FAIBLE&quot;"/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57" dataDxfId="56">
  <autoFilter ref="E7:F16" xr:uid="{00000000-0009-0000-0100-000003000000}"/>
  <tableColumns count="2">
    <tableColumn id="1" xr3:uid="{00000000-0010-0000-0000-000001000000}" name="Value" dataDxfId="55"/>
    <tableColumn id="2" xr3:uid="{00000000-0010-0000-0000-000002000000}" name="Key" dataDxfId="5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24139B-75CA-4A08-B80C-35F8CF005E7D}" name="Tableau2" displayName="Tableau2" ref="A1:P3" totalsRowShown="0" headerRowDxfId="17" dataDxfId="16">
  <autoFilter ref="A1:P3" xr:uid="{00000000-0009-0000-0100-000002000000}"/>
  <tableColumns count="16">
    <tableColumn id="1" xr3:uid="{36AF49FD-9945-4A8D-8417-CA411F232185}" name="Id #" dataDxfId="15"/>
    <tableColumn id="2" xr3:uid="{7A54A132-C283-4126-865C-27DA3E5367F8}" name="Cible" dataDxfId="14"/>
    <tableColumn id="3" xr3:uid="{167F248A-75C4-4095-8778-8DB341B07E15}" name="Vulnérabilité" dataDxfId="13"/>
    <tableColumn id="14" xr3:uid="{D2C8B45A-7CC7-449B-8FB2-CC0CAE48ECD5}" name="Exposé sur internet" dataDxfId="12"/>
    <tableColumn id="4" xr3:uid="{40CD3968-7E78-4CCA-8EEC-8BD4733DE166}" name="Compte_x000a_requis" dataDxfId="11"/>
    <tableColumn id="15" xr3:uid="{06214562-4D6A-41D5-9C84-81912B8C7182}" name="Catégorie" dataDxfId="10"/>
    <tableColumn id="5" xr3:uid="{39150541-9EC0-4132-A416-2DAF99CA73BD}" name="Description" dataDxfId="9"/>
    <tableColumn id="16" xr3:uid="{F1D134B9-56A5-498F-883F-D9140D0D8FE4}" name="CVSS" dataDxfId="8"/>
    <tableColumn id="6" xr3:uid="{0CDE6AE3-74D2-46FC-BB9A-EEC43CDDB3F5}" name="Difficulté d'exploitation ( E )" dataDxfId="7"/>
    <tableColumn id="7" xr3:uid="{9D7B0626-F638-48C1-A43F-F2AAA756B0C7}" name="Impact ( I )" dataDxfId="6"/>
    <tableColumn id="8" xr3:uid="{A61AEAE4-7334-497E-A3E3-B73FEE2C4D7A}" name="Risque (E x I) _x000a_= ( R )" dataDxfId="5">
      <calculatedColumnFormula>IF(
AND(J2="ÉLEVÉ",I2="UTILISATEUR"), "CRITIQUE",
IF(AND(J2="NULL",I2="HACKER"), "NULL",
IF(OR(AND(J2="FAIBLE",OR(I2="HACKER",I2="TECHNICIEN",I2="UTILISATEUR")),AND(J2="NULL",OR(I2="TECHNICIEN",I2="UTILISATEUR")),AND(J2="MOYEN",I2="HACKER")), "FAIBLE",
IF(OR(AND(J2="ÉLEVÉ",OR(I2="UTILISATEUR",I2="TECHNICIEN")),AND(J2="MOYEN",I2="UTILISATEUR"), AND(J2="CRITIQUE",I2="TECHNICIEN")), "ÉLEVÉ",
"MOYEN"))))</calculatedColumnFormula>
    </tableColumn>
    <tableColumn id="9" xr3:uid="{A6B118E4-BA14-4196-AB99-21D8BD8634E0}" name="Recommandation" dataDxfId="4"/>
    <tableColumn id="10" xr3:uid="{87FDFC7A-6AFD-4D21-93EC-DDA296765EC8}" name="Risque" dataDxfId="3"/>
    <tableColumn id="11" xr3:uid="{335A5BE2-183C-4911-8187-70DFA760DD38}" name="Type de _x000a_correctif" dataDxfId="2"/>
    <tableColumn id="12" xr3:uid="{F8962D0F-2F69-4FB7-A417-1AFC44C95F54}" name="Difficulté de mise_x000a_ en place ( D )" dataDxfId="1"/>
    <tableColumn id="13" xr3:uid="{95A54640-A48F-4470-8D21-3082A509ABE0}" name="Priorité ( P )" dataDxfId="0">
      <calculatedColumnFormula>IF(
OR(AND(K2="CRITIQUE",OR(O2="FAIBLE",O2="MOYENNE")), AND(K2="ÉLEVÉ",O2="FAIBLE") ), "URGENTE",
IF(OR(AND(K2="FAIBLE",OR(O2="MOYENNE",O2="ELEVEE",O2="TRES DIFFICILE",)),AND(K2="MOYEN",O2="TRES DIFFICILE"),AND(K2="NULL")), "BASSE",
IF(OR(AND(K2="ÉLEVÉ",OR(O2="MOYENNE",O2="ELEVEE")),AND(K2="MOYEN",O2="FAIBLE"), AND(K2="CRITIQUE",O2="ELEVEE")), "ELEVEE",
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6BA1B3E-9A5E-4C74-9619-3C3868A568BE}" name="Tableau35" displayName="Tableau35" ref="AN42:AQ117" totalsRowShown="0">
  <autoFilter ref="AN42:AQ117" xr:uid="{A75F55A5-A1A7-4B0F-AE26-5D77B050010B}"/>
  <tableColumns count="4">
    <tableColumn id="1" xr3:uid="{72B5A7AA-E086-4042-99D4-6ED9E676330A}" name="TOP TEN OWASP FR"/>
    <tableColumn id="2" xr3:uid="{79DFDF6E-4BD8-4DEB-95C2-688797A5BAC8}" name="LEVEL" dataCellStyle="Normal 2 3"/>
    <tableColumn id="3" xr3:uid="{DFDE79D3-17B2-4F7E-BD0A-32CCAC5EB591}" name="VERSION" dataCellStyle="Normal 2 3"/>
    <tableColumn id="4" xr3:uid="{4830E288-153B-4EEE-AB67-7C4B22818505}" name="CATEGORY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first.org/cvss/calculator/3.0" TargetMode="Externa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 t="s">
        <v>74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36" t="s">
        <v>81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153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98717-149B-462F-86F4-760530A5AFC0}">
  <sheetPr codeName="RT_CASA_TI_v1"/>
  <dimension ref="A1:AQ117"/>
  <sheetViews>
    <sheetView tabSelected="1" zoomScale="70" zoomScaleNormal="70" workbookViewId="0">
      <pane ySplit="1" topLeftCell="A2" activePane="bottomLeft" state="frozen"/>
      <selection pane="bottomLeft" activeCell="F10" sqref="F10"/>
    </sheetView>
  </sheetViews>
  <sheetFormatPr baseColWidth="10" defaultRowHeight="14.4" x14ac:dyDescent="0.3"/>
  <cols>
    <col min="1" max="1" width="4.6640625" style="12" customWidth="1"/>
    <col min="2" max="2" width="30.6640625" style="12" customWidth="1"/>
    <col min="3" max="3" width="36.44140625" style="12" customWidth="1"/>
    <col min="4" max="4" width="17" style="12" customWidth="1"/>
    <col min="5" max="5" width="11.5546875" style="12" customWidth="1"/>
    <col min="6" max="6" width="36.77734375" style="12" customWidth="1"/>
    <col min="7" max="7" width="30.6640625" style="12" customWidth="1"/>
    <col min="8" max="8" width="39" style="12" customWidth="1"/>
    <col min="9" max="10" width="20.6640625" style="12" customWidth="1"/>
    <col min="11" max="11" width="18.21875" style="12" bestFit="1" customWidth="1"/>
    <col min="12" max="12" width="30.6640625" style="12" customWidth="1"/>
    <col min="13" max="13" width="22.88671875" style="12" customWidth="1"/>
    <col min="14" max="14" width="14.44140625" style="12" customWidth="1"/>
    <col min="15" max="16" width="20.6640625" style="12" customWidth="1"/>
    <col min="17" max="25" width="11.5546875" style="12"/>
    <col min="26" max="26" width="13.5546875" style="12" customWidth="1"/>
    <col min="27" max="32" width="11.5546875" style="12" hidden="1" customWidth="1"/>
    <col min="33" max="33" width="17.21875" style="12" hidden="1" customWidth="1"/>
    <col min="34" max="40" width="11.5546875" style="12" hidden="1" customWidth="1"/>
    <col min="41" max="41" width="11.88671875" style="12" hidden="1" customWidth="1"/>
    <col min="42" max="43" width="11.5546875" style="12" hidden="1" customWidth="1"/>
    <col min="44" max="44" width="0" style="12" hidden="1" customWidth="1"/>
    <col min="45" max="16384" width="11.5546875" style="12"/>
  </cols>
  <sheetData>
    <row r="1" spans="1:16" ht="28.8" x14ac:dyDescent="0.3">
      <c r="A1" s="10" t="s">
        <v>18</v>
      </c>
      <c r="B1" s="10" t="s">
        <v>19</v>
      </c>
      <c r="C1" s="10" t="s">
        <v>20</v>
      </c>
      <c r="D1" s="11" t="s">
        <v>75</v>
      </c>
      <c r="E1" s="11" t="s">
        <v>21</v>
      </c>
      <c r="F1" s="10" t="s">
        <v>22</v>
      </c>
      <c r="G1" s="10" t="s">
        <v>23</v>
      </c>
      <c r="H1" s="10" t="s">
        <v>76</v>
      </c>
      <c r="I1" s="11" t="s">
        <v>24</v>
      </c>
      <c r="J1" s="10" t="s">
        <v>25</v>
      </c>
      <c r="K1" s="11" t="s">
        <v>26</v>
      </c>
      <c r="L1" s="10" t="s">
        <v>27</v>
      </c>
      <c r="M1" s="10" t="s">
        <v>28</v>
      </c>
      <c r="N1" s="11" t="s">
        <v>29</v>
      </c>
      <c r="O1" s="11" t="s">
        <v>30</v>
      </c>
      <c r="P1" s="10" t="s">
        <v>31</v>
      </c>
    </row>
    <row r="2" spans="1:16" hidden="1" x14ac:dyDescent="0.3">
      <c r="A2" s="13" t="s">
        <v>32</v>
      </c>
      <c r="B2" s="13" t="s">
        <v>33</v>
      </c>
      <c r="C2" s="13" t="s">
        <v>34</v>
      </c>
      <c r="D2" s="13" t="s">
        <v>77</v>
      </c>
      <c r="E2" s="13" t="s">
        <v>35</v>
      </c>
      <c r="F2" s="13" t="s">
        <v>36</v>
      </c>
      <c r="G2" s="13" t="s">
        <v>37</v>
      </c>
      <c r="H2" s="13" t="s">
        <v>84</v>
      </c>
      <c r="I2" s="13" t="s">
        <v>38</v>
      </c>
      <c r="J2" s="13" t="s">
        <v>39</v>
      </c>
      <c r="K2" s="13" t="s">
        <v>40</v>
      </c>
      <c r="L2" s="13" t="s">
        <v>41</v>
      </c>
      <c r="M2" s="13" t="s">
        <v>42</v>
      </c>
      <c r="N2" s="13" t="s">
        <v>43</v>
      </c>
      <c r="O2" s="13" t="s">
        <v>44</v>
      </c>
      <c r="P2" s="13" t="s">
        <v>45</v>
      </c>
    </row>
    <row r="3" spans="1:16" x14ac:dyDescent="0.3">
      <c r="A3" s="13"/>
      <c r="B3" s="30"/>
      <c r="C3" s="14"/>
      <c r="D3" s="13" t="s">
        <v>78</v>
      </c>
      <c r="E3" s="13" t="s">
        <v>79</v>
      </c>
      <c r="F3" s="15"/>
      <c r="G3" s="16"/>
      <c r="H3" s="33">
        <v>0</v>
      </c>
      <c r="I3" s="31" t="s">
        <v>80</v>
      </c>
      <c r="J3" s="31" t="s">
        <v>83</v>
      </c>
      <c r="K3" s="31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1 - FAIBLE</v>
      </c>
      <c r="L3" s="13"/>
      <c r="M3" s="13"/>
      <c r="N3" s="13"/>
      <c r="O3" s="31" t="s">
        <v>66</v>
      </c>
      <c r="P3" s="31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2 - MOYENNE</v>
      </c>
    </row>
    <row r="42" spans="27:43" x14ac:dyDescent="0.3">
      <c r="AA42" s="17"/>
      <c r="AB42" s="17"/>
      <c r="AC42" s="17"/>
      <c r="AD42" s="17"/>
      <c r="AE42" s="17"/>
      <c r="AF42" s="17"/>
      <c r="AG42" s="17" t="s">
        <v>47</v>
      </c>
      <c r="AH42" s="17"/>
      <c r="AI42" s="17"/>
      <c r="AJ42" s="17"/>
      <c r="AK42" s="17"/>
      <c r="AL42" s="17"/>
      <c r="AN42" s="34" t="s">
        <v>48</v>
      </c>
      <c r="AO42" s="34" t="s">
        <v>49</v>
      </c>
      <c r="AP42" s="18" t="s">
        <v>50</v>
      </c>
      <c r="AQ42" s="18" t="s">
        <v>85</v>
      </c>
    </row>
    <row r="43" spans="27:43" x14ac:dyDescent="0.3">
      <c r="AA43" s="37" t="s">
        <v>51</v>
      </c>
      <c r="AB43" s="19">
        <v>4</v>
      </c>
      <c r="AC43" s="19">
        <v>4</v>
      </c>
      <c r="AD43" s="20">
        <v>3</v>
      </c>
      <c r="AE43" s="21">
        <v>2</v>
      </c>
      <c r="AF43" s="17"/>
      <c r="AG43" s="22" t="s">
        <v>52</v>
      </c>
      <c r="AH43" s="17"/>
      <c r="AI43" s="17"/>
      <c r="AJ43" s="17"/>
      <c r="AK43" s="17"/>
      <c r="AL43" s="17"/>
      <c r="AN43" s="35" t="s">
        <v>53</v>
      </c>
      <c r="AO43" s="23" t="s">
        <v>46</v>
      </c>
      <c r="AP43" s="24" t="s">
        <v>153</v>
      </c>
      <c r="AQ43" s="12" t="s">
        <v>86</v>
      </c>
    </row>
    <row r="44" spans="27:43" x14ac:dyDescent="0.3">
      <c r="AA44" s="37"/>
      <c r="AB44" s="19">
        <v>4</v>
      </c>
      <c r="AC44" s="20">
        <v>3</v>
      </c>
      <c r="AD44" s="20">
        <v>3</v>
      </c>
      <c r="AE44" s="21">
        <v>2</v>
      </c>
      <c r="AF44" s="17"/>
      <c r="AG44" s="25" t="s">
        <v>54</v>
      </c>
      <c r="AH44" s="17"/>
      <c r="AI44" s="17"/>
      <c r="AJ44" s="17"/>
      <c r="AK44" s="17"/>
      <c r="AL44" s="17"/>
      <c r="AN44" s="35" t="s">
        <v>55</v>
      </c>
      <c r="AO44" s="26" t="s">
        <v>81</v>
      </c>
      <c r="AQ44" s="12" t="s">
        <v>87</v>
      </c>
    </row>
    <row r="45" spans="27:43" x14ac:dyDescent="0.3">
      <c r="AA45" s="37"/>
      <c r="AB45" s="20">
        <v>3</v>
      </c>
      <c r="AC45" s="21">
        <v>2</v>
      </c>
      <c r="AD45" s="21">
        <v>2</v>
      </c>
      <c r="AE45" s="27">
        <v>1</v>
      </c>
      <c r="AF45" s="17"/>
      <c r="AG45" s="26" t="s">
        <v>56</v>
      </c>
      <c r="AH45" s="17"/>
      <c r="AI45" s="17"/>
      <c r="AJ45" s="17"/>
      <c r="AK45" s="17"/>
      <c r="AL45" s="17"/>
      <c r="AN45" s="35" t="s">
        <v>57</v>
      </c>
      <c r="AO45" s="25" t="s">
        <v>82</v>
      </c>
      <c r="AQ45" s="12" t="s">
        <v>88</v>
      </c>
    </row>
    <row r="46" spans="27:43" x14ac:dyDescent="0.3">
      <c r="AA46" s="37"/>
      <c r="AB46" s="21">
        <v>2</v>
      </c>
      <c r="AC46" s="27">
        <v>1</v>
      </c>
      <c r="AD46" s="27">
        <v>1</v>
      </c>
      <c r="AE46" s="27">
        <v>1</v>
      </c>
      <c r="AF46" s="17"/>
      <c r="AG46" s="28" t="s">
        <v>58</v>
      </c>
      <c r="AH46" s="17"/>
      <c r="AI46" s="17"/>
      <c r="AJ46" s="17"/>
      <c r="AK46" s="17"/>
      <c r="AL46" s="17"/>
      <c r="AN46" s="35" t="s">
        <v>59</v>
      </c>
      <c r="AO46" s="22" t="s">
        <v>83</v>
      </c>
      <c r="AQ46" s="12" t="s">
        <v>89</v>
      </c>
    </row>
    <row r="47" spans="27:43" x14ac:dyDescent="0.3">
      <c r="AA47" s="17" t="s">
        <v>60</v>
      </c>
      <c r="AB47" s="38" t="s">
        <v>61</v>
      </c>
      <c r="AC47" s="38"/>
      <c r="AD47" s="38"/>
      <c r="AE47" s="38"/>
      <c r="AF47" s="17"/>
      <c r="AG47" s="17"/>
      <c r="AH47" s="17"/>
      <c r="AI47" s="17"/>
      <c r="AJ47" s="17"/>
      <c r="AK47" s="17"/>
      <c r="AL47" s="17"/>
      <c r="AN47" s="35" t="s">
        <v>62</v>
      </c>
      <c r="AQ47" s="12" t="s">
        <v>90</v>
      </c>
    </row>
    <row r="48" spans="27:43" x14ac:dyDescent="0.3"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N48" s="35" t="s">
        <v>63</v>
      </c>
      <c r="AQ48" s="12" t="s">
        <v>91</v>
      </c>
    </row>
    <row r="49" spans="27:43" x14ac:dyDescent="0.3">
      <c r="AA49" s="17"/>
      <c r="AB49" s="17"/>
      <c r="AC49" s="17"/>
      <c r="AD49" s="17"/>
      <c r="AE49" s="17"/>
      <c r="AF49" s="17"/>
      <c r="AG49" s="17" t="s">
        <v>28</v>
      </c>
      <c r="AH49" s="17"/>
      <c r="AI49" s="17"/>
      <c r="AJ49" s="17"/>
      <c r="AK49" s="17"/>
      <c r="AL49" s="17"/>
      <c r="AN49" s="35" t="s">
        <v>64</v>
      </c>
      <c r="AQ49" s="12" t="s">
        <v>92</v>
      </c>
    </row>
    <row r="50" spans="27:43" x14ac:dyDescent="0.3">
      <c r="AA50" s="37" t="s">
        <v>65</v>
      </c>
      <c r="AB50" s="29">
        <v>2</v>
      </c>
      <c r="AC50" s="29">
        <v>3</v>
      </c>
      <c r="AD50" s="29">
        <v>4</v>
      </c>
      <c r="AE50" s="17"/>
      <c r="AF50" s="17"/>
      <c r="AG50" s="22" t="s">
        <v>66</v>
      </c>
      <c r="AH50" s="17"/>
      <c r="AI50" s="17"/>
      <c r="AJ50" s="17"/>
      <c r="AK50" s="17"/>
      <c r="AL50" s="17"/>
      <c r="AN50" s="35" t="s">
        <v>67</v>
      </c>
      <c r="AQ50" s="12" t="s">
        <v>93</v>
      </c>
    </row>
    <row r="51" spans="27:43" x14ac:dyDescent="0.3">
      <c r="AA51" s="37"/>
      <c r="AB51" s="29">
        <v>1</v>
      </c>
      <c r="AC51" s="29">
        <v>2</v>
      </c>
      <c r="AD51" s="29">
        <v>3</v>
      </c>
      <c r="AE51" s="17"/>
      <c r="AF51" s="17"/>
      <c r="AG51" s="25" t="s">
        <v>68</v>
      </c>
      <c r="AH51" s="17"/>
      <c r="AI51" s="17"/>
      <c r="AJ51" s="17"/>
      <c r="AK51" s="17"/>
      <c r="AL51" s="17"/>
      <c r="AN51" s="35" t="s">
        <v>69</v>
      </c>
      <c r="AQ51" s="12" t="s">
        <v>94</v>
      </c>
    </row>
    <row r="52" spans="27:43" x14ac:dyDescent="0.3">
      <c r="AA52" s="37"/>
      <c r="AB52" s="29">
        <v>1</v>
      </c>
      <c r="AC52" s="29">
        <v>1</v>
      </c>
      <c r="AD52" s="29">
        <v>1</v>
      </c>
      <c r="AE52" s="17"/>
      <c r="AF52" s="17"/>
      <c r="AG52" s="28" t="s">
        <v>70</v>
      </c>
      <c r="AH52" s="17"/>
      <c r="AI52" s="17"/>
      <c r="AJ52" s="17"/>
      <c r="AK52" s="17"/>
      <c r="AL52" s="17"/>
      <c r="AN52" s="35" t="s">
        <v>71</v>
      </c>
      <c r="AQ52" s="12" t="s">
        <v>95</v>
      </c>
    </row>
    <row r="53" spans="27:43" x14ac:dyDescent="0.3">
      <c r="AA53" s="37"/>
      <c r="AB53" s="29">
        <v>1</v>
      </c>
      <c r="AC53" s="29">
        <v>1</v>
      </c>
      <c r="AD53" s="29">
        <v>1</v>
      </c>
      <c r="AE53" s="17"/>
      <c r="AF53" s="17"/>
      <c r="AG53" s="32" t="s">
        <v>46</v>
      </c>
      <c r="AH53" s="17"/>
      <c r="AI53" s="17"/>
      <c r="AJ53" s="17"/>
      <c r="AK53" s="17"/>
      <c r="AL53" s="17"/>
      <c r="AQ53" s="12" t="s">
        <v>96</v>
      </c>
    </row>
    <row r="54" spans="27:43" x14ac:dyDescent="0.3">
      <c r="AA54" s="17" t="s">
        <v>72</v>
      </c>
      <c r="AB54" s="38" t="s">
        <v>73</v>
      </c>
      <c r="AC54" s="38"/>
      <c r="AD54" s="38"/>
      <c r="AE54" s="38"/>
      <c r="AF54" s="17"/>
      <c r="AG54" s="17"/>
      <c r="AH54" s="17"/>
      <c r="AI54" s="17"/>
      <c r="AJ54" s="17"/>
      <c r="AK54" s="17"/>
      <c r="AL54" s="17"/>
      <c r="AQ54" s="12" t="s">
        <v>89</v>
      </c>
    </row>
    <row r="55" spans="27:43" x14ac:dyDescent="0.3">
      <c r="AI55" s="17"/>
      <c r="AJ55" s="17"/>
      <c r="AK55" s="17"/>
      <c r="AL55" s="17"/>
      <c r="AQ55" s="12" t="s">
        <v>97</v>
      </c>
    </row>
    <row r="56" spans="27:43" x14ac:dyDescent="0.3">
      <c r="AQ56" s="12" t="s">
        <v>98</v>
      </c>
    </row>
    <row r="57" spans="27:43" x14ac:dyDescent="0.3">
      <c r="AQ57" s="12" t="s">
        <v>99</v>
      </c>
    </row>
    <row r="58" spans="27:43" x14ac:dyDescent="0.3">
      <c r="AQ58" s="12" t="s">
        <v>100</v>
      </c>
    </row>
    <row r="59" spans="27:43" x14ac:dyDescent="0.3">
      <c r="AQ59" s="12" t="s">
        <v>101</v>
      </c>
    </row>
    <row r="60" spans="27:43" x14ac:dyDescent="0.3">
      <c r="AQ60" s="12" t="s">
        <v>102</v>
      </c>
    </row>
    <row r="61" spans="27:43" x14ac:dyDescent="0.3">
      <c r="AQ61" s="12" t="s">
        <v>103</v>
      </c>
    </row>
    <row r="62" spans="27:43" x14ac:dyDescent="0.3">
      <c r="AQ62" s="12" t="s">
        <v>89</v>
      </c>
    </row>
    <row r="63" spans="27:43" x14ac:dyDescent="0.3">
      <c r="AQ63" s="12" t="s">
        <v>104</v>
      </c>
    </row>
    <row r="64" spans="27:43" x14ac:dyDescent="0.3">
      <c r="AQ64" s="12" t="s">
        <v>105</v>
      </c>
    </row>
    <row r="65" spans="43:43" x14ac:dyDescent="0.3">
      <c r="AQ65" s="12" t="s">
        <v>106</v>
      </c>
    </row>
    <row r="66" spans="43:43" x14ac:dyDescent="0.3">
      <c r="AQ66" s="12" t="s">
        <v>107</v>
      </c>
    </row>
    <row r="67" spans="43:43" x14ac:dyDescent="0.3">
      <c r="AQ67" s="12" t="s">
        <v>89</v>
      </c>
    </row>
    <row r="68" spans="43:43" x14ac:dyDescent="0.3">
      <c r="AQ68" s="12" t="s">
        <v>108</v>
      </c>
    </row>
    <row r="69" spans="43:43" x14ac:dyDescent="0.3">
      <c r="AQ69" s="12" t="s">
        <v>109</v>
      </c>
    </row>
    <row r="70" spans="43:43" x14ac:dyDescent="0.3">
      <c r="AQ70" s="12" t="s">
        <v>110</v>
      </c>
    </row>
    <row r="71" spans="43:43" x14ac:dyDescent="0.3">
      <c r="AQ71" s="12" t="s">
        <v>111</v>
      </c>
    </row>
    <row r="72" spans="43:43" x14ac:dyDescent="0.3">
      <c r="AQ72" s="12" t="s">
        <v>112</v>
      </c>
    </row>
    <row r="73" spans="43:43" x14ac:dyDescent="0.3">
      <c r="AQ73" s="12" t="s">
        <v>113</v>
      </c>
    </row>
    <row r="74" spans="43:43" x14ac:dyDescent="0.3">
      <c r="AQ74" s="12" t="s">
        <v>89</v>
      </c>
    </row>
    <row r="75" spans="43:43" x14ac:dyDescent="0.3">
      <c r="AQ75" s="12" t="s">
        <v>114</v>
      </c>
    </row>
    <row r="76" spans="43:43" x14ac:dyDescent="0.3">
      <c r="AQ76" s="12" t="s">
        <v>115</v>
      </c>
    </row>
    <row r="77" spans="43:43" x14ac:dyDescent="0.3">
      <c r="AQ77" s="12" t="s">
        <v>116</v>
      </c>
    </row>
    <row r="78" spans="43:43" x14ac:dyDescent="0.3">
      <c r="AQ78" s="12" t="s">
        <v>117</v>
      </c>
    </row>
    <row r="79" spans="43:43" x14ac:dyDescent="0.3">
      <c r="AQ79" s="12" t="s">
        <v>118</v>
      </c>
    </row>
    <row r="80" spans="43:43" x14ac:dyDescent="0.3">
      <c r="AQ80" s="12" t="s">
        <v>119</v>
      </c>
    </row>
    <row r="81" spans="43:43" x14ac:dyDescent="0.3">
      <c r="AQ81" s="12" t="s">
        <v>120</v>
      </c>
    </row>
    <row r="82" spans="43:43" x14ac:dyDescent="0.3">
      <c r="AQ82" s="12" t="s">
        <v>121</v>
      </c>
    </row>
    <row r="83" spans="43:43" x14ac:dyDescent="0.3">
      <c r="AQ83" s="12" t="s">
        <v>122</v>
      </c>
    </row>
    <row r="84" spans="43:43" x14ac:dyDescent="0.3">
      <c r="AQ84" s="12" t="s">
        <v>89</v>
      </c>
    </row>
    <row r="85" spans="43:43" x14ac:dyDescent="0.3">
      <c r="AQ85" s="12" t="s">
        <v>123</v>
      </c>
    </row>
    <row r="86" spans="43:43" x14ac:dyDescent="0.3">
      <c r="AQ86" s="12" t="s">
        <v>124</v>
      </c>
    </row>
    <row r="87" spans="43:43" x14ac:dyDescent="0.3">
      <c r="AQ87" s="12" t="s">
        <v>125</v>
      </c>
    </row>
    <row r="88" spans="43:43" x14ac:dyDescent="0.3">
      <c r="AQ88" s="12" t="s">
        <v>126</v>
      </c>
    </row>
    <row r="89" spans="43:43" x14ac:dyDescent="0.3">
      <c r="AQ89" s="12" t="s">
        <v>127</v>
      </c>
    </row>
    <row r="90" spans="43:43" x14ac:dyDescent="0.3">
      <c r="AQ90" s="12" t="s">
        <v>128</v>
      </c>
    </row>
    <row r="91" spans="43:43" x14ac:dyDescent="0.3">
      <c r="AQ91" s="12" t="s">
        <v>129</v>
      </c>
    </row>
    <row r="92" spans="43:43" x14ac:dyDescent="0.3">
      <c r="AQ92" s="12" t="s">
        <v>130</v>
      </c>
    </row>
    <row r="93" spans="43:43" x14ac:dyDescent="0.3">
      <c r="AQ93" s="12" t="s">
        <v>131</v>
      </c>
    </row>
    <row r="94" spans="43:43" x14ac:dyDescent="0.3">
      <c r="AQ94" s="12" t="s">
        <v>132</v>
      </c>
    </row>
    <row r="95" spans="43:43" x14ac:dyDescent="0.3">
      <c r="AQ95" s="12" t="s">
        <v>133</v>
      </c>
    </row>
    <row r="96" spans="43:43" x14ac:dyDescent="0.3">
      <c r="AQ96" s="12" t="s">
        <v>134</v>
      </c>
    </row>
    <row r="97" spans="43:43" x14ac:dyDescent="0.3">
      <c r="AQ97" s="12" t="s">
        <v>135</v>
      </c>
    </row>
    <row r="98" spans="43:43" x14ac:dyDescent="0.3">
      <c r="AQ98" s="12" t="s">
        <v>136</v>
      </c>
    </row>
    <row r="99" spans="43:43" x14ac:dyDescent="0.3">
      <c r="AQ99" s="12" t="s">
        <v>137</v>
      </c>
    </row>
    <row r="100" spans="43:43" x14ac:dyDescent="0.3">
      <c r="AQ100" s="12" t="s">
        <v>89</v>
      </c>
    </row>
    <row r="101" spans="43:43" x14ac:dyDescent="0.3">
      <c r="AQ101" s="12" t="s">
        <v>138</v>
      </c>
    </row>
    <row r="102" spans="43:43" x14ac:dyDescent="0.3">
      <c r="AQ102" s="12" t="s">
        <v>139</v>
      </c>
    </row>
    <row r="103" spans="43:43" x14ac:dyDescent="0.3">
      <c r="AQ103" s="12" t="s">
        <v>140</v>
      </c>
    </row>
    <row r="104" spans="43:43" x14ac:dyDescent="0.3">
      <c r="AQ104" s="12" t="s">
        <v>141</v>
      </c>
    </row>
    <row r="105" spans="43:43" x14ac:dyDescent="0.3">
      <c r="AQ105" s="12" t="s">
        <v>142</v>
      </c>
    </row>
    <row r="106" spans="43:43" x14ac:dyDescent="0.3">
      <c r="AQ106" s="12" t="s">
        <v>143</v>
      </c>
    </row>
    <row r="107" spans="43:43" x14ac:dyDescent="0.3">
      <c r="AQ107" s="12" t="s">
        <v>144</v>
      </c>
    </row>
    <row r="108" spans="43:43" x14ac:dyDescent="0.3">
      <c r="AQ108" s="12" t="s">
        <v>89</v>
      </c>
    </row>
    <row r="109" spans="43:43" x14ac:dyDescent="0.3">
      <c r="AQ109" s="12" t="s">
        <v>145</v>
      </c>
    </row>
    <row r="110" spans="43:43" x14ac:dyDescent="0.3">
      <c r="AQ110" s="12" t="s">
        <v>146</v>
      </c>
    </row>
    <row r="111" spans="43:43" x14ac:dyDescent="0.3">
      <c r="AQ111" s="12" t="s">
        <v>147</v>
      </c>
    </row>
    <row r="112" spans="43:43" x14ac:dyDescent="0.3">
      <c r="AQ112" s="12" t="s">
        <v>89</v>
      </c>
    </row>
    <row r="113" spans="43:43" x14ac:dyDescent="0.3">
      <c r="AQ113" s="12" t="s">
        <v>148</v>
      </c>
    </row>
    <row r="114" spans="43:43" x14ac:dyDescent="0.3">
      <c r="AQ114" s="12" t="s">
        <v>149</v>
      </c>
    </row>
    <row r="115" spans="43:43" x14ac:dyDescent="0.3">
      <c r="AQ115" s="12" t="s">
        <v>150</v>
      </c>
    </row>
    <row r="116" spans="43:43" x14ac:dyDescent="0.3">
      <c r="AQ116" s="12" t="s">
        <v>151</v>
      </c>
    </row>
    <row r="117" spans="43:43" x14ac:dyDescent="0.3">
      <c r="AQ117" s="12" t="s">
        <v>152</v>
      </c>
    </row>
  </sheetData>
  <mergeCells count="4">
    <mergeCell ref="AA43:AA46"/>
    <mergeCell ref="AB47:AE47"/>
    <mergeCell ref="AA50:AA53"/>
    <mergeCell ref="AB54:AE54"/>
  </mergeCells>
  <conditionalFormatting sqref="AB53:AC53 AB43:AE49 AE50:AE53 AB50:AD52">
    <cfRule type="cellIs" dxfId="53" priority="61" operator="equal">
      <formula>4</formula>
    </cfRule>
    <cfRule type="cellIs" dxfId="52" priority="62" operator="equal">
      <formula>3</formula>
    </cfRule>
    <cfRule type="cellIs" dxfId="51" priority="63" operator="equal">
      <formula>2</formula>
    </cfRule>
    <cfRule type="cellIs" dxfId="50" priority="64" operator="equal">
      <formula>1</formula>
    </cfRule>
  </conditionalFormatting>
  <conditionalFormatting sqref="AD53">
    <cfRule type="cellIs" dxfId="49" priority="57" operator="equal">
      <formula>4</formula>
    </cfRule>
    <cfRule type="cellIs" dxfId="48" priority="58" operator="equal">
      <formula>3</formula>
    </cfRule>
    <cfRule type="cellIs" dxfId="47" priority="59" operator="equal">
      <formula>2</formula>
    </cfRule>
    <cfRule type="cellIs" dxfId="46" priority="60" operator="equal">
      <formula>1</formula>
    </cfRule>
  </conditionalFormatting>
  <conditionalFormatting sqref="H3">
    <cfRule type="cellIs" dxfId="45" priority="53" operator="between">
      <formula>0</formula>
      <formula>2.5</formula>
    </cfRule>
    <cfRule type="cellIs" dxfId="44" priority="54" operator="between">
      <formula>2.6</formula>
      <formula>5</formula>
    </cfRule>
    <cfRule type="cellIs" dxfId="43" priority="55" operator="between">
      <formula>5.1</formula>
      <formula>7.5</formula>
    </cfRule>
    <cfRule type="cellIs" dxfId="42" priority="56" operator="greaterThanOrEqual">
      <formula>7.6</formula>
    </cfRule>
  </conditionalFormatting>
  <dataValidations count="6">
    <dataValidation type="list" allowBlank="1" showInputMessage="1" showErrorMessage="1" sqref="F3" xr:uid="{E873BBED-D203-4DF0-A4EC-E38F54622D93}">
      <formula1>$AQ$43:$AQ$117</formula1>
    </dataValidation>
    <dataValidation type="list" allowBlank="1" showInputMessage="1" showErrorMessage="1" sqref="N3" xr:uid="{36096FFF-1D0D-4D2D-A65A-FD713DAF0D8E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D3:E3" xr:uid="{FF1036B2-21B7-4B7A-B3DE-7EB571644002}">
      <formula1>"OUI, NON,"</formula1>
    </dataValidation>
    <dataValidation type="list" allowBlank="1" showInputMessage="1" showErrorMessage="1" sqref="I3" xr:uid="{CC8FCCB1-51AB-4ED2-B1BC-7C61CADEAA08}">
      <formula1>"3 - UTILISATEUR, 2 - TECHNICIEN, 1 - HACKER"</formula1>
    </dataValidation>
    <dataValidation type="list" allowBlank="1" showInputMessage="1" showErrorMessage="1" sqref="J3" xr:uid="{33481B52-31A9-4689-84D2-8D8BA2C1460C}">
      <formula1>"4 - ÉLEVÉ,3 - MOYEN,2 - FAIBLE,1 - NULL"</formula1>
    </dataValidation>
    <dataValidation type="list" allowBlank="1" showInputMessage="1" showErrorMessage="1" sqref="O3" xr:uid="{DB73DD25-9246-44E4-A765-4AEB0C50F203}">
      <formula1>"4 - TRES DIFFICILE,3 - ELEVEE,2 - MOYENNE,1 - FAIBLE"</formula1>
    </dataValidation>
  </dataValidations>
  <hyperlinks>
    <hyperlink ref="H3" r:id="rId1" location="CVSS:3.0/AV:N/AC:L/PR:N/UI:N/S:U/C:N/I:N/A:N" tooltip="Score CVSS de 0.0" display="https://www.first.org/cvss/calculator/3.0 - CVSS:3.0/AV:N/AC:L/PR:N/UI:N/S:U/C:N/I:N/A:N" xr:uid="{A4132B20-2A0D-43BD-B1A6-BFEDFA60F03B}"/>
  </hyperlinks>
  <pageMargins left="0.7" right="0.7" top="0.75" bottom="0.75" header="0.3" footer="0.3"/>
  <pageSetup paperSize="9" orientation="portrait" horizontalDpi="4294967295" verticalDpi="4294967295"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81" operator="beginsWith" id="{718F3621-FBED-42FE-8A49-7B290080C2D4}">
            <xm:f>LEFT(O2,LEN("1 -"))="1 -"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82" operator="beginsWith" id="{CEE48EEC-383E-4B4E-9E85-A158E65A7239}">
            <xm:f>LEFT(O2,LEN("2 -"))="2 -"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83" operator="beginsWith" id="{004D91CC-77C0-43C5-ACC6-4FC45ADD1A63}">
            <xm:f>LEFT(O2,LEN("3 -"))="3 -"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84" operator="beginsWith" id="{B36739FC-D346-4A90-90C3-C61332CAEC4C}">
            <xm:f>LEFT(O2,LEN("4 -"))="4 -"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O2:P2</xm:sqref>
        </x14:conditionalFormatting>
        <x14:conditionalFormatting xmlns:xm="http://schemas.microsoft.com/office/excel/2006/main">
          <x14:cfRule type="beginsWith" priority="77" operator="beginsWith" id="{910EEB41-5810-4722-8FC7-A4C08530DE25}">
            <xm:f>LEFT(I3,LEN("1 -"))="1 -"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78" operator="beginsWith" id="{DD8168E9-2D90-4805-B2AA-9F2DDE82323C}">
            <xm:f>LEFT(I3,LEN("2 -"))="2 -"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79" operator="beginsWith" id="{CF54EC9A-ED5B-4647-91F3-519E267A3A07}">
            <xm:f>LEFT(I3,LEN("3 -"))="3 -"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80" operator="beginsWith" id="{04094E7C-87B8-4EDA-B022-74239E5F8A1A}">
            <xm:f>LEFT(I3,LEN("4 -"))="4 -"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I3</xm:sqref>
        </x14:conditionalFormatting>
        <x14:conditionalFormatting xmlns:xm="http://schemas.microsoft.com/office/excel/2006/main">
          <x14:cfRule type="beginsWith" priority="73" operator="beginsWith" id="{7B2A0872-1DBA-4724-B55E-3D7F8A5A11D9}">
            <xm:f>LEFT(K3,LEN("1 -"))="1 -"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74" operator="beginsWith" id="{2A0DCC90-7D4E-40E3-9BC6-C5E02D84CE61}">
            <xm:f>LEFT(K3,LEN("2 -"))="2 -"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75" operator="beginsWith" id="{0AA378E2-B973-49DA-85FD-6057E93371F8}">
            <xm:f>LEFT(K3,LEN("4 -"))="4 -"</xm:f>
            <xm:f>"4 -"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14:cfRule type="beginsWith" priority="76" operator="beginsWith" id="{6C7467D0-D58C-4FB2-9E92-8A9A9E837242}">
            <xm:f>LEFT(K3,LEN("3 -"))="3 -"</xm:f>
            <xm:f>"3 -"</xm:f>
            <x14:dxf>
              <fill>
                <patternFill>
                  <bgColor rgb="FFFF0000"/>
                </patternFill>
              </fill>
            </x14:dxf>
          </x14:cfRule>
          <xm:sqref>K3</xm:sqref>
        </x14:conditionalFormatting>
        <x14:conditionalFormatting xmlns:xm="http://schemas.microsoft.com/office/excel/2006/main">
          <x14:cfRule type="beginsWith" priority="69" operator="beginsWith" id="{C2F6CE00-70D1-464E-ADD1-825A9EB57443}">
            <xm:f>LEFT(O3,LEN("1 -"))="1 -"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70" operator="beginsWith" id="{04041E37-C350-40F3-BD0A-895D7C1B6163}">
            <xm:f>LEFT(O3,LEN("2 -"))="2 -"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71" operator="beginsWith" id="{C631A715-330D-48D5-8196-8B8BB0C2F180}">
            <xm:f>LEFT(O3,LEN("3 -"))="3 -"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72" operator="beginsWith" id="{BE387D29-5678-464B-A40D-74F93048434D}">
            <xm:f>LEFT(O3,LEN("4 -"))="4 -"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O3</xm:sqref>
        </x14:conditionalFormatting>
        <x14:conditionalFormatting xmlns:xm="http://schemas.microsoft.com/office/excel/2006/main">
          <x14:cfRule type="beginsWith" priority="65" operator="beginsWith" id="{3C391B3F-7336-41BF-9546-B8C4ACB92818}">
            <xm:f>LEFT(P3,LEN("1 -"))="1 -"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66" operator="beginsWith" id="{1D3FEAAB-08F0-46DB-9982-E6B0491FC65F}">
            <xm:f>LEFT(P3,LEN("2 -"))="2 -"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67" operator="beginsWith" id="{B0A29250-F255-41DA-9E1B-504B8AEBABDE}">
            <xm:f>LEFT(P3,LEN("3 -"))="3 -"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68" operator="beginsWith" id="{E083BAAB-E422-4B96-A42D-C021B5C1829E}">
            <xm:f>LEFT(P3,LEN("4 -"))="4 -"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P3</xm:sqref>
        </x14:conditionalFormatting>
        <x14:conditionalFormatting xmlns:xm="http://schemas.microsoft.com/office/excel/2006/main">
          <x14:cfRule type="beginsWith" priority="49" operator="beginsWith" id="{46FE5D47-EBCC-4DFF-BDF1-8D07074C0F68}">
            <xm:f>LEFT(J3,LEN("2 -"))="2 -"</xm:f>
            <xm:f>"2 -"</xm:f>
            <x14:dxf>
              <fill>
                <patternFill>
                  <bgColor rgb="FF00B050"/>
                </patternFill>
              </fill>
            </x14:dxf>
          </x14:cfRule>
          <x14:cfRule type="beginsWith" priority="50" operator="beginsWith" id="{06227970-EC55-4938-AD28-FE12BCD2F905}">
            <xm:f>LEFT(J3,LEN("1 -"))="1 -"</xm:f>
            <xm:f>"1 -"</xm:f>
            <x14:dxf>
              <fill>
                <patternFill>
                  <bgColor rgb="FF92D050"/>
                </patternFill>
              </fill>
            </x14:dxf>
          </x14:cfRule>
          <x14:cfRule type="beginsWith" priority="51" operator="beginsWith" id="{7A608EFD-0CA8-4550-9DF7-0E53B84A00DB}">
            <xm:f>LEFT(J3,LEN("3 -"))="3 -"</xm:f>
            <xm:f>"3 -"</xm:f>
            <x14:dxf>
              <fill>
                <patternFill>
                  <bgColor rgb="FFFFFF00"/>
                </patternFill>
              </fill>
            </x14:dxf>
          </x14:cfRule>
          <x14:cfRule type="beginsWith" priority="52" operator="beginsWith" id="{A04571A8-CCE1-4CC9-A27E-A07E6311E0FC}">
            <xm:f>LEFT(J3,LEN("4 -"))="4 -"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J3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18</vt:i4>
      </vt:variant>
    </vt:vector>
  </HeadingPairs>
  <TitlesOfParts>
    <vt:vector size="20" baseType="lpstr">
      <vt:lpstr>PowerAuditor</vt:lpstr>
      <vt:lpstr>CASA_TI_v1-FR</vt:lpstr>
      <vt:lpstr>BEGIN_DATE</vt:lpstr>
      <vt:lpstr>CLIENT</vt:lpstr>
      <vt:lpstr>END_DATE</vt:lpstr>
      <vt:lpstr>LEVEL</vt:lpstr>
      <vt:lpstr>LEVEL_LIST</vt:lpstr>
      <vt:lpstr>NES_v1_matrix_DR</vt:lpstr>
      <vt:lpstr>NES_v1_matrix_EI</vt:lpstr>
      <vt:lpstr>NES_v1_matrix_Priorité</vt:lpstr>
      <vt:lpstr>NES_v1_matrix_Risque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TemplateVersion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v2019-07-02</dc:title>
  <dc:subject>Security audit of &lt;hidden&gt; for &lt;secret&gt; by 1mm0rt41PC v2019-07-02</dc:subject>
  <dc:creator>NUEL Guillaumeé</dc:creator>
  <cp:keywords/>
  <dc:description>Security audit of &lt;hidden&gt; for &lt;secret&gt; by 1mm0rt41PC v2019-07-02</dc:description>
  <cp:lastModifiedBy>1mm0rt41PC</cp:lastModifiedBy>
  <cp:revision>0</cp:revision>
  <dcterms:created xsi:type="dcterms:W3CDTF">2011-06-07T11:38:29Z</dcterms:created>
  <dcterms:modified xsi:type="dcterms:W3CDTF">2019-07-02T12:50:55Z</dcterms:modified>
  <cp:category>Audit Documents</cp:category>
</cp:coreProperties>
</file>