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dev\"/>
    </mc:Choice>
  </mc:AlternateContent>
  <xr:revisionPtr revIDLastSave="0" documentId="13_ncr:1_{528F015E-54AD-461E-AA46-9B30DF601427}" xr6:coauthVersionLast="43" xr6:coauthVersionMax="43" xr10:uidLastSave="{00000000-0000-0000-0000-000000000000}"/>
  <bookViews>
    <workbookView xWindow="-108" yWindow="-108" windowWidth="23256" windowHeight="12720" activeTab="1" xr2:uid="{00000000-000D-0000-FFFF-FFFF00000000}"/>
  </bookViews>
  <sheets>
    <sheet name="PowerAuditor" sheetId="9" r:id="rId1"/>
    <sheet name="CASA_TI_v1-FR" sheetId="45" r:id="rId2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LEVEL_LIST">'CASA_TI_v1-FR'!$AA$37:$AA$40</definedName>
    <definedName name="OWASP_T10_EN">PowerAuditor!$A$38:$A$47</definedName>
    <definedName name="OWASP_T10_FR">PowerAuditor!$B$38:$B$47</definedName>
    <definedName name="PowerAuditorVersion">PowerAuditor!$D$38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TemplateVersion">'CASA_TI_v1-FR'!$AB$37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3" i="45" l="1"/>
  <c r="P3" i="4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1mm0rt41PC</author>
  </authors>
  <commentList>
    <comment ref="F11" authorId="0" shapeId="0" xr:uid="{EDF1F4EE-C395-4408-8483-1F6FA230FC52}">
      <text>
        <r>
          <rPr>
            <b/>
            <sz val="9"/>
            <color indexed="81"/>
            <rFont val="Tahoma"/>
            <family val="2"/>
          </rPr>
          <t>1mm0rt41PC:</t>
        </r>
        <r>
          <rPr>
            <sz val="9"/>
            <color indexed="81"/>
            <rFont val="Tahoma"/>
            <family val="2"/>
          </rPr>
          <t xml:space="preserve">
If empty use the current date with the format YYYY-MM-DD</t>
        </r>
      </text>
    </comment>
  </commentList>
</comments>
</file>

<file path=xl/sharedStrings.xml><?xml version="1.0" encoding="utf-8"?>
<sst xmlns="http://schemas.openxmlformats.org/spreadsheetml/2006/main" count="77" uniqueCount="73">
  <si>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</si>
  <si>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</si>
  <si>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</si>
  <si>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</si>
  <si>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</si>
  <si>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</si>
  <si>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</si>
  <si>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</si>
  <si>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</si>
  <si>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</si>
  <si>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</si>
  <si>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</si>
  <si>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www.poney.club</t>
  </si>
  <si>
    <t>Scope</t>
  </si>
  <si>
    <t>myCli</t>
  </si>
  <si>
    <t>Example_v1</t>
  </si>
  <si>
    <t>My Pony WebSite</t>
  </si>
  <si>
    <t>NES_TI_v1</t>
  </si>
  <si>
    <t>A3 – Cross-Site Scripting (XSS)</t>
  </si>
  <si>
    <t>A1 – Injection</t>
  </si>
  <si>
    <t>LEVEL</t>
  </si>
  <si>
    <t>P</t>
  </si>
  <si>
    <t>D</t>
  </si>
  <si>
    <t>fixtype</t>
  </si>
  <si>
    <t>risk</t>
  </si>
  <si>
    <t>fix</t>
  </si>
  <si>
    <t>R</t>
  </si>
  <si>
    <t>I</t>
  </si>
  <si>
    <t>E</t>
  </si>
  <si>
    <t>desc</t>
  </si>
  <si>
    <t>category</t>
  </si>
  <si>
    <t>account</t>
  </si>
  <si>
    <t>name</t>
  </si>
  <si>
    <t>target</t>
  </si>
  <si>
    <t>id</t>
  </si>
  <si>
    <t>Impact ( I )</t>
  </si>
  <si>
    <t>Description</t>
  </si>
  <si>
    <t>Id #</t>
  </si>
  <si>
    <t>VERSION</t>
  </si>
  <si>
    <t>Cible</t>
  </si>
  <si>
    <t>Vulnérabilité</t>
  </si>
  <si>
    <t>Compte
requis</t>
  </si>
  <si>
    <t>Catégorie</t>
  </si>
  <si>
    <t>Difficulté d'exploitation ( E )</t>
  </si>
  <si>
    <t>Risque (E x I) 
= ( R )</t>
  </si>
  <si>
    <t>Recommandation</t>
  </si>
  <si>
    <t>Risque</t>
  </si>
  <si>
    <t>Type de 
correctif</t>
  </si>
  <si>
    <t>Difficulté de mise
 en place ( D )</t>
  </si>
  <si>
    <t>Priorité ( P )</t>
  </si>
  <si>
    <t>TOP TEN OWASP FR</t>
  </si>
  <si>
    <t>4 - CRITIQUE</t>
  </si>
  <si>
    <t>A2 – Violation de gestion d'authentification et de session</t>
  </si>
  <si>
    <t>A4 – Violation de contrôle d'accès</t>
  </si>
  <si>
    <t>A5 – Mauvaise configuration de sécurité</t>
  </si>
  <si>
    <t>A6 – Exposition de données sensibles</t>
  </si>
  <si>
    <t>A7 – Protection insuffisante contre les attaques</t>
  </si>
  <si>
    <t>A8 – Falsification de requêtes intersites (CSRF)</t>
  </si>
  <si>
    <t>A9 – Utilisation de composants avec des vulnérabilités connues</t>
  </si>
  <si>
    <t>A10 – APIs non sécurisées</t>
  </si>
  <si>
    <t>CASA_TI_v1-FR</t>
  </si>
  <si>
    <t>Exposé sur internet</t>
  </si>
  <si>
    <t>CVSS</t>
  </si>
  <si>
    <t>exposition</t>
  </si>
  <si>
    <t>OUI</t>
  </si>
  <si>
    <t>NON</t>
  </si>
  <si>
    <t>TECHNICIEN</t>
  </si>
  <si>
    <t>MOYEN</t>
  </si>
  <si>
    <t>MOYENNE</t>
  </si>
  <si>
    <t>3 - MOYEN</t>
  </si>
  <si>
    <t>2 - FAIBLE</t>
  </si>
  <si>
    <t>1 - NULL</t>
  </si>
  <si>
    <t>2019-06-28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</si>
</sst>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7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0"/>
      <color rgb="FF000000"/>
      <name val="Calibri"/>
      <family val="2"/>
    </font>
    <font>
      <sz val="11"/>
      <color theme="0"/>
      <name val="Calibri"/>
      <family val="2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b/>
      <u/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FFC000"/>
        <bgColor rgb="FFFF9900"/>
      </patternFill>
    </fill>
    <fill>
      <patternFill patternType="solid">
        <fgColor rgb="FF00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rgb="FFFF9900"/>
      </patternFill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70">
    <xf numFmtId="0" fontId="0" fillId="0" borderId="0"/>
    <xf numFmtId="0" fontId="61" fillId="0" borderId="0"/>
    <xf numFmtId="0" fontId="62" fillId="0" borderId="0"/>
    <xf numFmtId="0" fontId="63" fillId="0" borderId="0" applyNumberFormat="0" applyFill="0" applyBorder="0" applyAlignment="0" applyProtection="0">
      <alignment vertical="top"/>
      <protection locked="0"/>
    </xf>
    <xf numFmtId="0" fontId="60" fillId="0" borderId="0"/>
    <xf numFmtId="0" fontId="64" fillId="0" borderId="0"/>
    <xf numFmtId="0" fontId="59" fillId="0" borderId="0"/>
    <xf numFmtId="0" fontId="58" fillId="0" borderId="0"/>
    <xf numFmtId="0" fontId="57" fillId="0" borderId="0"/>
    <xf numFmtId="0" fontId="65" fillId="0" borderId="0" applyNumberFormat="0" applyFill="0" applyBorder="0" applyAlignment="0" applyProtection="0"/>
    <xf numFmtId="0" fontId="56" fillId="0" borderId="0"/>
    <xf numFmtId="0" fontId="55" fillId="0" borderId="0"/>
    <xf numFmtId="0" fontId="54" fillId="0" borderId="0"/>
    <xf numFmtId="0" fontId="53" fillId="0" borderId="0"/>
    <xf numFmtId="0" fontId="52" fillId="0" borderId="0"/>
    <xf numFmtId="0" fontId="51" fillId="0" borderId="0"/>
    <xf numFmtId="0" fontId="50" fillId="0" borderId="0"/>
    <xf numFmtId="0" fontId="49" fillId="0" borderId="0"/>
    <xf numFmtId="0" fontId="48" fillId="0" borderId="0"/>
    <xf numFmtId="0" fontId="47" fillId="0" borderId="0"/>
    <xf numFmtId="0" fontId="46" fillId="0" borderId="0"/>
    <xf numFmtId="0" fontId="45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8" fillId="0" borderId="0"/>
    <xf numFmtId="0" fontId="17" fillId="0" borderId="0"/>
    <xf numFmtId="0" fontId="16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38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65" fillId="0" borderId="4" xfId="9" applyBorder="1" applyAlignment="1">
      <alignment horizontal="center" vertical="center"/>
    </xf>
    <xf numFmtId="0" fontId="66" fillId="0" borderId="1" xfId="0" applyFont="1" applyBorder="1"/>
    <xf numFmtId="0" fontId="66" fillId="0" borderId="3" xfId="0" applyFont="1" applyBorder="1"/>
    <xf numFmtId="0" fontId="66" fillId="0" borderId="5" xfId="0" applyFont="1" applyBorder="1"/>
    <xf numFmtId="0" fontId="68" fillId="6" borderId="7" xfId="5" applyFont="1" applyFill="1" applyBorder="1" applyAlignment="1">
      <alignment horizontal="left" vertical="center" wrapText="1" shrinkToFit="1"/>
    </xf>
    <xf numFmtId="0" fontId="64" fillId="0" borderId="0" xfId="5" applyAlignment="1">
      <alignment horizontal="center" vertical="center" wrapText="1" shrinkToFit="1"/>
    </xf>
    <xf numFmtId="0" fontId="67" fillId="0" borderId="0" xfId="5" applyFont="1" applyAlignment="1">
      <alignment horizontal="left" vertical="center" wrapText="1" shrinkToFit="1"/>
    </xf>
    <xf numFmtId="49" fontId="0" fillId="0" borderId="0" xfId="0" applyNumberFormat="1"/>
    <xf numFmtId="0" fontId="71" fillId="0" borderId="0" xfId="5" applyFont="1" applyAlignment="1">
      <alignment horizontal="center" vertical="center"/>
    </xf>
    <xf numFmtId="0" fontId="66" fillId="0" borderId="0" xfId="5" applyFont="1" applyAlignment="1">
      <alignment horizontal="center" vertical="center" wrapText="1" shrinkToFit="1"/>
    </xf>
    <xf numFmtId="0" fontId="64" fillId="0" borderId="0" xfId="5" applyAlignment="1">
      <alignment horizontal="left" vertical="center" wrapText="1" shrinkToFit="1"/>
    </xf>
    <xf numFmtId="0" fontId="70" fillId="7" borderId="0" xfId="5" applyFont="1" applyFill="1" applyAlignment="1">
      <alignment horizontal="center" vertical="center" wrapText="1" shrinkToFit="1"/>
    </xf>
    <xf numFmtId="0" fontId="71" fillId="0" borderId="0" xfId="5" applyFont="1" applyAlignment="1">
      <alignment horizontal="center" vertical="center" wrapText="1"/>
    </xf>
    <xf numFmtId="0" fontId="64" fillId="0" borderId="0" xfId="5"/>
    <xf numFmtId="0" fontId="70" fillId="0" borderId="0" xfId="5" applyFont="1" applyAlignment="1">
      <alignment horizontal="center" vertical="center" wrapText="1" shrinkToFit="1"/>
    </xf>
    <xf numFmtId="0" fontId="74" fillId="8" borderId="6" xfId="2" applyFont="1" applyFill="1" applyBorder="1" applyAlignment="1" applyProtection="1">
      <alignment horizontal="center"/>
      <protection locked="0"/>
    </xf>
    <xf numFmtId="0" fontId="64" fillId="0" borderId="0" xfId="5" applyAlignment="1">
      <alignment horizontal="center" vertical="center" wrapText="1"/>
    </xf>
    <xf numFmtId="0" fontId="76" fillId="0" borderId="0" xfId="9" applyFont="1" applyAlignment="1">
      <alignment horizontal="center" vertical="center"/>
    </xf>
    <xf numFmtId="0" fontId="70" fillId="11" borderId="0" xfId="5" applyFont="1" applyFill="1" applyAlignment="1">
      <alignment horizontal="center" vertical="center" wrapText="1" shrinkToFit="1"/>
    </xf>
    <xf numFmtId="0" fontId="70" fillId="12" borderId="0" xfId="5" applyFont="1" applyFill="1" applyAlignment="1">
      <alignment horizontal="center" vertical="center" wrapText="1" shrinkToFit="1"/>
    </xf>
    <xf numFmtId="0" fontId="75" fillId="9" borderId="9" xfId="69" applyFont="1" applyFill="1" applyBorder="1"/>
    <xf numFmtId="0" fontId="75" fillId="9" borderId="8" xfId="69" applyFont="1" applyFill="1" applyBorder="1"/>
    <xf numFmtId="0" fontId="75" fillId="9" borderId="10" xfId="5" applyFont="1" applyFill="1" applyBorder="1"/>
    <xf numFmtId="0" fontId="0" fillId="10" borderId="9" xfId="69" applyFont="1" applyFill="1" applyBorder="1"/>
    <xf numFmtId="0" fontId="69" fillId="4" borderId="8" xfId="5" applyFont="1" applyFill="1" applyBorder="1"/>
    <xf numFmtId="49" fontId="0" fillId="10" borderId="10" xfId="5" applyNumberFormat="1" applyFont="1" applyFill="1" applyBorder="1"/>
    <xf numFmtId="0" fontId="0" fillId="0" borderId="9" xfId="69" applyFont="1" applyBorder="1"/>
    <xf numFmtId="0" fontId="67" fillId="5" borderId="8" xfId="5" applyFont="1" applyFill="1" applyBorder="1"/>
    <xf numFmtId="0" fontId="64" fillId="0" borderId="10" xfId="5" applyBorder="1"/>
    <xf numFmtId="0" fontId="64" fillId="10" borderId="10" xfId="5" applyFill="1" applyBorder="1"/>
    <xf numFmtId="0" fontId="67" fillId="3" borderId="8" xfId="5" applyFont="1" applyFill="1" applyBorder="1"/>
    <xf numFmtId="0" fontId="64" fillId="10" borderId="8" xfId="5" applyFill="1" applyBorder="1"/>
    <xf numFmtId="0" fontId="64" fillId="0" borderId="8" xfId="5" applyBorder="1"/>
  </cellXfs>
  <cellStyles count="70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11 4 2 2" xfId="55" xr:uid="{2841DB44-7177-4064-B2BA-60629D6D9421}"/>
    <cellStyle name="Normal 13 3 2 2 2 2 11 4 2 2 2" xfId="57" xr:uid="{BC040B29-E654-483B-9417-FCE0E7B9896E}"/>
    <cellStyle name="Normal 13 3 2 2 2 2 11 4 2 2 3" xfId="59" xr:uid="{B5FC2920-72CE-46A0-A7A4-B2694D250176}"/>
    <cellStyle name="Normal 13 3 2 2 2 2 11 4 2 2 4" xfId="61" xr:uid="{C89FF59E-30FB-48BD-AA2C-7B8F89EF1BFF}"/>
    <cellStyle name="Normal 13 3 2 2 2 2 11 4 2 2 4 2" xfId="63" xr:uid="{76636F2D-CB3F-4599-BCBB-E11905B96C12}"/>
    <cellStyle name="Normal 13 3 2 2 2 2 11 4 2 2 4 2 2" xfId="65" xr:uid="{84D24ED0-0E98-4FC3-B55D-AE8E96146ABB}"/>
    <cellStyle name="Normal 13 3 2 2 2 2 11 4 2 2 4 2 2 2" xfId="67" xr:uid="{471604FC-29BE-4AA1-B0A2-DB3DB50C16F6}"/>
    <cellStyle name="Normal 13 3 2 2 2 2 11 4 2 2 4 2 2 2 2" xfId="69" xr:uid="{F940080E-8062-4FB1-83E5-AD038FA6742A}"/>
    <cellStyle name="Normal 13 3 2 2 2 2 11 4 2 2 4 2 2 3" xfId="68" xr:uid="{789CB854-5086-4939-8CB5-F0B0FA8EAC51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14 5 2 4 2" xfId="56" xr:uid="{DD69EDFE-2BB3-46D4-B062-CC5B72E629BD}"/>
    <cellStyle name="Normal 14 5 2 4 3" xfId="58" xr:uid="{8688A856-3A0F-4650-9A22-8F08F9135905}"/>
    <cellStyle name="Normal 14 5 2 4 4" xfId="60" xr:uid="{B0501CE4-9B2D-42AF-A0DE-E8F5CA09A673}"/>
    <cellStyle name="Normal 14 5 2 4 4 2" xfId="62" xr:uid="{C02F0286-49A9-4346-9488-C1ABC2C0D729}"/>
    <cellStyle name="Normal 14 5 2 4 4 2 2" xfId="64" xr:uid="{9E18FFD9-41B3-49C3-9D4A-8790F426993F}"/>
    <cellStyle name="Normal 14 5 2 4 4 2 2 2" xfId="66" xr:uid="{4C225000-2A60-4B04-BDFF-58F9ABB690AF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5"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1"/>
        <scheme val="none"/>
      </font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EF8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550545</xdr:colOff>
      <xdr:row>19</xdr:row>
      <xdr:rowOff>9525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PowerAuditorInfo" displayName="PowerAuditorInfo" ref="E7:F16" totalsRowShown="0" headerRowDxfId="44" dataDxfId="43">
  <autoFilter ref="E7:F16" xr:uid="{00000000-0009-0000-0100-000003000000}"/>
  <tableColumns count="2">
    <tableColumn id="1" xr3:uid="{00000000-0010-0000-0000-000001000000}" name="Value" dataDxfId="42"/>
    <tableColumn id="2" xr3:uid="{00000000-0010-0000-0000-000002000000}" name="Key" dataDxfId="41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D49" totalsRowShown="0">
  <autoFilter ref="C37:D49" xr:uid="{00000000-0009-0000-0100-000001000000}"/>
  <tableColumns count="2">
    <tableColumn id="1" xr3:uid="{00000000-0010-0000-0100-000001000000}" name="REPORT TYPE"/>
    <tableColumn id="2" xr3:uid="{C52C247C-BFB7-447E-9B23-5B5C99B94D5E}" name="Versio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BD272C2-6822-4610-B23A-4BF7C055066C}" name="Tableau2" displayName="Tableau2" ref="A1:P3" totalsRowShown="0" headerRowDxfId="17" dataDxfId="16">
  <autoFilter ref="A1:P3" xr:uid="{00000000-0009-0000-0100-000002000000}"/>
  <tableColumns count="16">
    <tableColumn id="1" xr3:uid="{22F0BE4B-79A6-4C9C-90F6-2BB31C91FE4D}" name="Id #" dataDxfId="15"/>
    <tableColumn id="2" xr3:uid="{A63FB44A-E368-450A-9A1F-9C12D8D48EEC}" name="Cible" dataDxfId="14"/>
    <tableColumn id="3" xr3:uid="{F3EED772-946B-4C96-A7C4-364A5E540FEA}" name="Vulnérabilité" dataDxfId="13"/>
    <tableColumn id="14" xr3:uid="{A3CC0394-10FC-4833-B8C1-A3D0F2A785A4}" name="Exposé sur internet" dataDxfId="12"/>
    <tableColumn id="4" xr3:uid="{CA0E588B-9D38-4064-BA90-D74273FDA856}" name="Compte_x000a_requis" dataDxfId="11"/>
    <tableColumn id="15" xr3:uid="{6D4CE47E-9783-4DBB-A150-47C589934C37}" name="Catégorie" dataDxfId="10"/>
    <tableColumn id="5" xr3:uid="{FB543E8E-5B51-4B02-A740-F6BDB16AA78C}" name="Description" dataDxfId="9"/>
    <tableColumn id="16" xr3:uid="{C18A1E84-AC16-47C9-8F13-1655719D5270}" name="CVSS" dataDxfId="8"/>
    <tableColumn id="6" xr3:uid="{347EF568-3464-4F30-985A-E5C6050F0E17}" name="Difficulté d'exploitation ( E )" dataDxfId="7"/>
    <tableColumn id="7" xr3:uid="{A14016AE-B285-4FEA-9715-A1FE67060ADB}" name="Impact ( I )" dataDxfId="6"/>
    <tableColumn id="8" xr3:uid="{AC12CC70-CD63-42B7-895F-807CC22714BA}" name="Risque (E x I) _x000a_= ( R )" dataDxfId="5">
      <calculatedColumnFormula>IF(
AND(J2="ÉLEVÉ",I2="UTILISATEUR"), "CRITIQUE",
IF(AND(J2="NULL",I2="HACKER"), "NULL",
IF(OR(AND(J2="FAIBLE",OR(I2="HACKER",I2="TECHNICIEN",I2="UTILISATEUR")),AND(J2="NULL",OR(I2="TECHNICIEN",I2="UTILISATEUR")),AND(J2="MOYEN",I2="HACKER")), "FAIBLE",
IF(OR(AND(J2="ÉLEVÉ",OR(I2="UTILISATEUR",I2="TECHNICIEN")),AND(J2="MOYEN",I2="UTILISATEUR"), AND(J2="CRITIQUE",I2="TECHNICIEN")), "ÉLEVÉ",
"MOYEN"))))</calculatedColumnFormula>
    </tableColumn>
    <tableColumn id="9" xr3:uid="{31826BFD-4561-46BB-BE2F-927BC3DD86B3}" name="Recommandation" dataDxfId="4"/>
    <tableColumn id="10" xr3:uid="{37A07B36-760D-4074-9E71-9A1EBB32F018}" name="Risque" dataDxfId="3"/>
    <tableColumn id="11" xr3:uid="{0D4D963A-9FDD-44C0-944B-B740C143676A}" name="Type de _x000a_correctif" dataDxfId="2"/>
    <tableColumn id="12" xr3:uid="{AD48B374-8E29-4039-B044-245080D5A1D7}" name="Difficulté de mise_x000a_ en place ( D )" dataDxfId="1"/>
    <tableColumn id="13" xr3:uid="{0B0D89CF-C5B7-48F4-91DA-7E7516BBF323}" name="Priorité ( P )" dataDxfId="0">
      <calculatedColumnFormula>IF(
OR(AND(K2="CRITIQUE",OR(O2="FAIBLE",O2="MOYENNE")), AND(K2="ÉLEVÉ",O2="FAIBLE") ), "URGENTE",
IF(OR(AND(K2="FAIBLE",OR(O2="MOYENNE",O2="ELEVEE",O2="TRES DIFFICILE",)),AND(K2="MOYEN",O2="TRES DIFFICILE"),AND(K2="NULL")), "BASSE",
IF(OR(AND(K2="ÉLEVÉ",OR(O2="MOYENNE",O2="ELEVEE")),AND(K2="MOYEN",O2="FAIBLE"), AND(K2="CRITIQUE",O2="ELEVEE")), "ELEVEE",
"MOYENNE")))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70"/>
  <sheetViews>
    <sheetView workbookViewId="0">
      <selection activeCell="F15" sqref="F15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2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3">
      <c r="A9" s="1"/>
      <c r="B9" s="1"/>
      <c r="C9" s="1"/>
      <c r="D9" s="1"/>
      <c r="E9" s="6" t="s">
        <v>1</v>
      </c>
      <c r="F9" s="2" t="s">
        <v>14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3">
      <c r="A10" s="1"/>
      <c r="B10" s="1"/>
      <c r="C10" s="1"/>
      <c r="D10" s="1"/>
      <c r="E10" s="7" t="s">
        <v>0</v>
      </c>
      <c r="F10" s="4" t="s">
        <v>16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3">
      <c r="A11" s="1"/>
      <c r="B11" s="1"/>
      <c r="C11" s="1"/>
      <c r="D11" s="1"/>
      <c r="E11" s="7" t="s">
        <v>2</v>
      </c>
      <c r="F11" s="4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3">
      <c r="A14" s="1"/>
      <c r="B14" s="1"/>
      <c r="C14" s="1"/>
      <c r="D14" s="1"/>
      <c r="E14" s="7" t="s">
        <v>13</v>
      </c>
      <c r="F14" s="5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3">
      <c r="A15" s="1"/>
      <c r="B15" s="1"/>
      <c r="C15" s="1"/>
      <c r="D15" s="1"/>
      <c r="E15" s="7" t="s">
        <v>6</v>
      </c>
      <c r="F15" s="3" t="s">
        <v>60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3">
      <c r="A16" s="1"/>
      <c r="B16" s="1"/>
      <c r="C16" s="1"/>
      <c r="D16" s="1"/>
      <c r="E16" s="8" t="s">
        <v>5</v>
      </c>
      <c r="F16" s="20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41" hidden="1" x14ac:dyDescent="0.3">
      <c r="A37" s="1"/>
      <c r="B37" s="1"/>
      <c r="C37" t="s">
        <v>9</v>
      </c>
      <c r="D37" t="s">
        <v>2</v>
      </c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41" hidden="1" x14ac:dyDescent="0.3">
      <c r="A38" s="1"/>
      <c r="B38" s="1"/>
      <c r="D38" s="12" t="s">
        <v>72</v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M38" t="s">
        <v>15</v>
      </c>
    </row>
    <row r="39" spans="1:41" hidden="1" x14ac:dyDescent="0.3">
      <c r="A39" s="1"/>
      <c r="B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N39" t="s">
        <v>17</v>
      </c>
    </row>
    <row r="40" spans="1:41" hidden="1" x14ac:dyDescent="0.3">
      <c r="A40" s="1"/>
      <c r="B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O40" t="s">
        <v>17</v>
      </c>
    </row>
    <row r="41" spans="1:41" hidden="1" x14ac:dyDescent="0.3">
      <c r="A41" s="1"/>
      <c r="B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41" hidden="1" x14ac:dyDescent="0.3">
      <c r="A42" s="1"/>
      <c r="B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41" hidden="1" x14ac:dyDescent="0.3">
      <c r="A43" s="1"/>
      <c r="B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41" hidden="1" x14ac:dyDescent="0.3">
      <c r="A44" s="1"/>
      <c r="B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41" hidden="1" x14ac:dyDescent="0.3">
      <c r="A45" s="1"/>
      <c r="B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41" hidden="1" x14ac:dyDescent="0.3">
      <c r="A46" s="1"/>
      <c r="B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41" hidden="1" x14ac:dyDescent="0.3">
      <c r="A47" s="1"/>
      <c r="B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41" hidden="1" x14ac:dyDescent="0.3">
      <c r="A48" s="1"/>
      <c r="B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idden="1" x14ac:dyDescent="0.3">
      <c r="A49" s="1"/>
      <c r="B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legacyDrawing r:id="rId4"/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C1EDF-377A-425F-AD64-CF0ED80EDA8F}">
  <sheetPr codeName="RT_CASA_TI_v1"/>
  <dimension ref="A1:AB46"/>
  <sheetViews>
    <sheetView tabSelected="1" zoomScale="70" zoomScaleNormal="70" workbookViewId="0">
      <pane ySplit="1" topLeftCell="A3" activePane="bottomLeft" state="frozen"/>
      <selection pane="bottomLeft" activeCell="G3" sqref="G3"/>
    </sheetView>
  </sheetViews>
  <sheetFormatPr baseColWidth="10" defaultRowHeight="14.4" x14ac:dyDescent="0.3"/>
  <cols>
    <col min="1" max="1" width="4.6640625" style="18" customWidth="1"/>
    <col min="2" max="2" width="30.6640625" style="18" customWidth="1"/>
    <col min="3" max="3" width="36.44140625" style="18" customWidth="1"/>
    <col min="4" max="4" width="17" style="18" customWidth="1"/>
    <col min="5" max="6" width="11.5546875" style="18" customWidth="1"/>
    <col min="7" max="7" width="30.6640625" style="18" customWidth="1"/>
    <col min="8" max="8" width="17.77734375" style="18" customWidth="1"/>
    <col min="9" max="10" width="20.6640625" style="18" customWidth="1"/>
    <col min="11" max="11" width="16" style="18" customWidth="1"/>
    <col min="12" max="13" width="30.6640625" style="18" customWidth="1"/>
    <col min="14" max="14" width="14.44140625" style="18" customWidth="1"/>
    <col min="15" max="16" width="20.6640625" style="18" customWidth="1"/>
    <col min="17" max="25" width="11.5546875" style="18"/>
    <col min="26" max="26" width="57.88671875" style="18" hidden="1" customWidth="1"/>
    <col min="27" max="28" width="11.5546875" style="18" hidden="1" customWidth="1"/>
    <col min="29" max="16384" width="11.5546875" style="18"/>
  </cols>
  <sheetData>
    <row r="1" spans="1:16" ht="28.8" x14ac:dyDescent="0.3">
      <c r="A1" s="13" t="s">
        <v>37</v>
      </c>
      <c r="B1" s="13" t="s">
        <v>39</v>
      </c>
      <c r="C1" s="13" t="s">
        <v>40</v>
      </c>
      <c r="D1" s="17" t="s">
        <v>61</v>
      </c>
      <c r="E1" s="17" t="s">
        <v>41</v>
      </c>
      <c r="F1" s="13" t="s">
        <v>42</v>
      </c>
      <c r="G1" s="13" t="s">
        <v>36</v>
      </c>
      <c r="H1" s="13" t="s">
        <v>62</v>
      </c>
      <c r="I1" s="17" t="s">
        <v>43</v>
      </c>
      <c r="J1" s="13" t="s">
        <v>35</v>
      </c>
      <c r="K1" s="17" t="s">
        <v>44</v>
      </c>
      <c r="L1" s="13" t="s">
        <v>45</v>
      </c>
      <c r="M1" s="13" t="s">
        <v>46</v>
      </c>
      <c r="N1" s="17" t="s">
        <v>47</v>
      </c>
      <c r="O1" s="17" t="s">
        <v>48</v>
      </c>
      <c r="P1" s="13" t="s">
        <v>49</v>
      </c>
    </row>
    <row r="2" spans="1:16" hidden="1" x14ac:dyDescent="0.3">
      <c r="A2" s="10" t="s">
        <v>34</v>
      </c>
      <c r="B2" s="10" t="s">
        <v>33</v>
      </c>
      <c r="C2" s="10" t="s">
        <v>32</v>
      </c>
      <c r="D2" s="10" t="s">
        <v>63</v>
      </c>
      <c r="E2" s="10" t="s">
        <v>31</v>
      </c>
      <c r="F2" s="10" t="s">
        <v>30</v>
      </c>
      <c r="G2" s="10" t="s">
        <v>29</v>
      </c>
      <c r="H2" s="10" t="s">
        <v>29</v>
      </c>
      <c r="I2" s="10" t="s">
        <v>28</v>
      </c>
      <c r="J2" s="10" t="s">
        <v>27</v>
      </c>
      <c r="K2" s="10" t="s">
        <v>26</v>
      </c>
      <c r="L2" s="10" t="s">
        <v>25</v>
      </c>
      <c r="M2" s="10" t="s">
        <v>24</v>
      </c>
      <c r="N2" s="10" t="s">
        <v>23</v>
      </c>
      <c r="O2" s="10" t="s">
        <v>22</v>
      </c>
      <c r="P2" s="10" t="s">
        <v>21</v>
      </c>
    </row>
    <row r="3" spans="1:16" x14ac:dyDescent="0.3">
      <c r="A3" s="10">
        <v>1</v>
      </c>
      <c r="B3" s="21"/>
      <c r="C3" s="14"/>
      <c r="D3" s="10" t="s">
        <v>64</v>
      </c>
      <c r="E3" s="10" t="s">
        <v>65</v>
      </c>
      <c r="F3" s="11"/>
      <c r="G3" s="15"/>
      <c r="H3" s="22"/>
      <c r="I3" s="16" t="s">
        <v>66</v>
      </c>
      <c r="J3" s="23" t="s">
        <v>67</v>
      </c>
      <c r="K3" s="24" t="str">
        <f>IF(
AND(J3="ÉLEVÉ",I3="UTILISATEUR"), "CRITIQUE",
IF(AND(J3="NULL",I3="HACKER"), "NULL",
IF(OR(AND(J3="FAIBLE",OR(I3="HACKER",I3="TECHNICIEN",I3="UTILISATEUR")),AND(J3="NULL",OR(I3="TECHNICIEN",I3="UTILISATEUR")),AND(J3="MOYEN",I3="HACKER")), "FAIBLE",
IF(OR(AND(J3="ÉLEVÉ",OR(I3="UTILISATEUR",I3="TECHNICIEN")),AND(J3="MOYEN",I3="UTILISATEUR"), AND(J3="CRITIQUE",I3="TECHNICIEN")), "ÉLEVÉ",
"MOYEN"))))</f>
        <v>MOYEN</v>
      </c>
      <c r="L3" s="10"/>
      <c r="M3" s="10"/>
      <c r="N3" s="10"/>
      <c r="O3" s="16" t="s">
        <v>68</v>
      </c>
      <c r="P3" s="19" t="str">
        <f t="shared" ref="P3" si="0">IF(
OR(AND(K3="CRITIQUE",OR(O3="FAIBLE",O3="MOYENNE")), AND(K3="ÉLEVÉ",O3="FAIBLE") ), "URGENTE",
IF(OR(AND(K3="FAIBLE",OR(O3="MOYENNE",O3="ELEVEE",O3="TRES DIFFICILE",)),AND(K3="MOYEN",O3="TRES DIFFICILE"),AND(K3="NULL")), "BASSE",
IF(OR(AND(K3="ÉLEVÉ",OR(O3="MOYENNE",O3="ELEVEE")),AND(K3="MOYEN",O3="FAIBLE"), AND(K3="CRITIQUE",O3="ELEVEE")), "ELEVEE",
"MOYENNE")))</f>
        <v>MOYENNE</v>
      </c>
    </row>
    <row r="36" spans="26:28" x14ac:dyDescent="0.3">
      <c r="Z36" s="25" t="s">
        <v>50</v>
      </c>
      <c r="AA36" s="26" t="s">
        <v>20</v>
      </c>
      <c r="AB36" s="27" t="s">
        <v>38</v>
      </c>
    </row>
    <row r="37" spans="26:28" x14ac:dyDescent="0.3">
      <c r="Z37" s="28" t="s">
        <v>19</v>
      </c>
      <c r="AA37" s="29" t="s">
        <v>51</v>
      </c>
      <c r="AB37" s="30" t="s">
        <v>72</v>
      </c>
    </row>
    <row r="38" spans="26:28" x14ac:dyDescent="0.3">
      <c r="Z38" s="31" t="s">
        <v>52</v>
      </c>
      <c r="AA38" s="32" t="s">
        <v>69</v>
      </c>
      <c r="AB38" s="33"/>
    </row>
    <row r="39" spans="26:28" x14ac:dyDescent="0.3">
      <c r="Z39" s="28" t="s">
        <v>18</v>
      </c>
      <c r="AA39" s="9" t="s">
        <v>70</v>
      </c>
      <c r="AB39" s="34"/>
    </row>
    <row r="40" spans="26:28" x14ac:dyDescent="0.3">
      <c r="Z40" s="31" t="s">
        <v>53</v>
      </c>
      <c r="AA40" s="35" t="s">
        <v>71</v>
      </c>
      <c r="AB40" s="33"/>
    </row>
    <row r="41" spans="26:28" x14ac:dyDescent="0.3">
      <c r="Z41" s="28" t="s">
        <v>54</v>
      </c>
      <c r="AA41" s="36"/>
      <c r="AB41" s="34"/>
    </row>
    <row r="42" spans="26:28" x14ac:dyDescent="0.3">
      <c r="Z42" s="31" t="s">
        <v>55</v>
      </c>
      <c r="AA42" s="37"/>
      <c r="AB42" s="33"/>
    </row>
    <row r="43" spans="26:28" x14ac:dyDescent="0.3">
      <c r="Z43" s="28" t="s">
        <v>56</v>
      </c>
      <c r="AA43" s="36"/>
      <c r="AB43" s="34"/>
    </row>
    <row r="44" spans="26:28" x14ac:dyDescent="0.3">
      <c r="Z44" s="31" t="s">
        <v>57</v>
      </c>
      <c r="AA44" s="37"/>
      <c r="AB44" s="33"/>
    </row>
    <row r="45" spans="26:28" x14ac:dyDescent="0.3">
      <c r="Z45" s="28" t="s">
        <v>58</v>
      </c>
      <c r="AA45" s="36"/>
      <c r="AB45" s="34"/>
    </row>
    <row r="46" spans="26:28" x14ac:dyDescent="0.3">
      <c r="Z46" s="31" t="s">
        <v>59</v>
      </c>
      <c r="AA46" s="37"/>
      <c r="AB46" s="33"/>
    </row>
  </sheetData>
  <conditionalFormatting sqref="P3">
    <cfRule type="cellIs" dxfId="40" priority="17" operator="equal">
      <formula>"BASSE"</formula>
    </cfRule>
    <cfRule type="cellIs" dxfId="39" priority="18" operator="equal">
      <formula>"MOYENNE"</formula>
    </cfRule>
    <cfRule type="cellIs" dxfId="38" priority="19" operator="equal">
      <formula>"ELEVEE"</formula>
    </cfRule>
    <cfRule type="cellIs" dxfId="37" priority="20" operator="equal">
      <formula>"URGENTE"</formula>
    </cfRule>
  </conditionalFormatting>
  <conditionalFormatting sqref="K3">
    <cfRule type="cellIs" dxfId="36" priority="13" operator="equal">
      <formula>"FAIBLE"</formula>
    </cfRule>
    <cfRule type="cellIs" dxfId="35" priority="14" operator="equal">
      <formula>"MOYEN"</formula>
    </cfRule>
    <cfRule type="cellIs" dxfId="34" priority="16" operator="equal">
      <formula>"CRITIQUE"</formula>
    </cfRule>
  </conditionalFormatting>
  <conditionalFormatting sqref="K3">
    <cfRule type="cellIs" dxfId="33" priority="15" operator="equal">
      <formula>"ÉLEVÉ"</formula>
    </cfRule>
  </conditionalFormatting>
  <conditionalFormatting sqref="I3">
    <cfRule type="cellIs" dxfId="32" priority="10" operator="equal">
      <formula>"HACKER"</formula>
    </cfRule>
    <cfRule type="cellIs" dxfId="31" priority="11" operator="equal">
      <formula>"TECHNICIEN"</formula>
    </cfRule>
    <cfRule type="cellIs" dxfId="30" priority="12" operator="equal">
      <formula>"UTILISATEUR"</formula>
    </cfRule>
  </conditionalFormatting>
  <conditionalFormatting sqref="J3">
    <cfRule type="cellIs" dxfId="29" priority="2" operator="equal">
      <formula>"NULL"</formula>
    </cfRule>
    <cfRule type="cellIs" dxfId="28" priority="7" operator="equal">
      <formula>"FAIBLE"</formula>
    </cfRule>
    <cfRule type="cellIs" dxfId="27" priority="8" operator="equal">
      <formula>"MOYEN"</formula>
    </cfRule>
    <cfRule type="cellIs" dxfId="26" priority="9" operator="equal">
      <formula>"ÉLEVÉ"</formula>
    </cfRule>
  </conditionalFormatting>
  <conditionalFormatting sqref="O3">
    <cfRule type="cellIs" dxfId="25" priority="3" operator="equal">
      <formula>"FAIBLE"</formula>
    </cfRule>
    <cfRule type="cellIs" dxfId="24" priority="4" operator="equal">
      <formula>"MOYENNE"</formula>
    </cfRule>
    <cfRule type="cellIs" dxfId="23" priority="5" operator="equal">
      <formula>"ELEVEE"</formula>
    </cfRule>
    <cfRule type="cellIs" dxfId="22" priority="6" operator="equal">
      <formula>"TRES DIFFICILE"</formula>
    </cfRule>
  </conditionalFormatting>
  <conditionalFormatting sqref="H3">
    <cfRule type="colorScale" priority="1">
      <colorScale>
        <cfvo type="num" val="3"/>
        <cfvo type="percentile" val="1"/>
        <cfvo type="num" val="8"/>
        <color rgb="FF63BE7B"/>
        <color rgb="FFFFEB84"/>
        <color rgb="FFF8696B"/>
      </colorScale>
    </cfRule>
  </conditionalFormatting>
  <conditionalFormatting sqref="H3">
    <cfRule type="iconSet" priority="21">
      <iconSet iconSet="3Symbols2" reverse="1">
        <cfvo type="percent" val="0"/>
        <cfvo type="num" val="2.5"/>
        <cfvo type="num" val="8"/>
      </iconSet>
    </cfRule>
  </conditionalFormatting>
  <dataValidations count="6">
    <dataValidation type="list" allowBlank="1" showInputMessage="1" showErrorMessage="1" sqref="F3" xr:uid="{71EB5AA5-52F2-4D28-8194-8916CADADF4C}">
      <formula1>$Z$37:$Z$46</formula1>
    </dataValidation>
    <dataValidation type="list" allowBlank="1" showInputMessage="1" showErrorMessage="1" sqref="N3" xr:uid="{19668DCD-8098-4F47-BDEA-BB5B32AC1E25}">
      <formula1>"Modification d'architecture,Revue de code,Configuration / Revue de code,Gestion des mises à jour,Configuration Système,Configuration Réseau,Autre"</formula1>
    </dataValidation>
    <dataValidation type="list" allowBlank="1" showInputMessage="1" showErrorMessage="1" sqref="D3:E3" xr:uid="{9E7C27E2-18E7-47FB-A5B6-9875C1F31E40}">
      <formula1>"OUI, NON,"</formula1>
    </dataValidation>
    <dataValidation type="list" allowBlank="1" showInputMessage="1" showErrorMessage="1" sqref="I3" xr:uid="{7423BA0F-A563-4263-94B5-6544A19F21C7}">
      <formula1>"UTILISATEUR, TECHNICIEN,  HACKER"</formula1>
    </dataValidation>
    <dataValidation type="list" allowBlank="1" showInputMessage="1" showErrorMessage="1" sqref="J3" xr:uid="{10563E92-6C57-4171-9055-AD59A42B6000}">
      <formula1>"ÉLEVÉ, MOYEN, FAIBLE, NULL"</formula1>
    </dataValidation>
    <dataValidation type="list" allowBlank="1" showInputMessage="1" showErrorMessage="1" sqref="O3" xr:uid="{8F83E16D-213C-48B2-B8D0-3F73DB536B52}">
      <formula1>"TRES DIFFICILE, ELEVEE, MOYENNE, FAIBLE"</formula1>
    </dataValidation>
  </dataValidations>
  <pageMargins left="0.7" right="0.7" top="0.75" bottom="0.75" header="0.3" footer="0.3"/>
  <pageSetup paperSize="9" orientation="portrait" horizontalDpi="4294967295" verticalDpi="4294967295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2" operator="beginsWith" id="{5A3971FE-0FD7-4FC2-A73D-380AE929F484}">
            <xm:f>LEFT(O2,LEN("1 -"))="1 -"</xm:f>
            <xm:f>"1 -"</xm:f>
            <x14:dxf>
              <fill>
                <patternFill>
                  <bgColor rgb="FF00B050"/>
                </patternFill>
              </fill>
            </x14:dxf>
          </x14:cfRule>
          <x14:cfRule type="beginsWith" priority="23" operator="beginsWith" id="{F37AEE27-9D9E-4F9E-84DE-C0DE98F1DD84}">
            <xm:f>LEFT(O2,LEN("2 -"))="2 -"</xm:f>
            <xm:f>"2 -"</xm:f>
            <x14:dxf>
              <fill>
                <patternFill>
                  <bgColor rgb="FFFFFF00"/>
                </patternFill>
              </fill>
            </x14:dxf>
          </x14:cfRule>
          <x14:cfRule type="beginsWith" priority="24" operator="beginsWith" id="{86A6D175-7DB6-4A44-BCA3-D772B62423B8}">
            <xm:f>LEFT(O2,LEN("3 -"))="3 -"</xm:f>
            <xm:f>"3 -"</xm:f>
            <x14:dxf>
              <fill>
                <patternFill>
                  <bgColor rgb="FFFFC000"/>
                </patternFill>
              </fill>
            </x14:dxf>
          </x14:cfRule>
          <x14:cfRule type="beginsWith" priority="25" operator="beginsWith" id="{4BA3F62C-6626-42AA-A040-C85C93C4AAEB}">
            <xm:f>LEFT(O2,LEN("4 -"))="4 -"</xm:f>
            <xm:f>"4 -"</xm:f>
            <x14:dxf>
              <fill>
                <patternFill>
                  <bgColor rgb="FFFF0000"/>
                </patternFill>
              </fill>
            </x14:dxf>
          </x14:cfRule>
          <xm:sqref>O2:P2</xm:sqref>
        </x14:conditionalFormatting>
      </x14:conditionalFormattings>
    </ext>
  </extLst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isDevMode" imageMso="SendStatusReport" onAction="ThisWorkbook.toProd"/>
        </group>
        <group id="Version" label="Version" autoScale="true">
          <editBox id="PowerAuditorVersion" imageMso="OpenAttachedCalendar" label="PowerAuditor version" getText="CustomRibbonTab.getVersion" enabled="false" sizeString="99999999999999"/>
          <editBox id="TemplateVersion" imageMso="OpenAttachedCalendar" label="Template version" getText="CustomRibbonTab.getVersion" enabled="false" sizeString="99999999999999"/>
          <editBox id="VulnDBVersion" imageMso="OpenAttachedCalendar" label="VulnDB version" getText="CustomRibbonTab.LastUpdate" enabled="false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14</vt:i4>
      </vt:variant>
    </vt:vector>
  </HeadingPairs>
  <TitlesOfParts>
    <vt:vector size="16" baseType="lpstr">
      <vt:lpstr>PowerAuditor</vt:lpstr>
      <vt:lpstr>CASA_TI_v1-FR</vt:lpstr>
      <vt:lpstr>BEGIN_DATE</vt:lpstr>
      <vt:lpstr>CLIENT</vt:lpstr>
      <vt:lpstr>END_DATE</vt:lpstr>
      <vt:lpstr>LEVEL</vt:lpstr>
      <vt:lpstr>LEVEL_LIST</vt:lpstr>
      <vt:lpstr>OWASP_T10_EN</vt:lpstr>
      <vt:lpstr>OWASP_T10_FR</vt:lpstr>
      <vt:lpstr>PowerAuditorVersion</vt:lpstr>
      <vt:lpstr>REPORT_TYPE</vt:lpstr>
      <vt:lpstr>REPORT_TYPE_LIST</vt:lpstr>
      <vt:lpstr>SCOPE</vt:lpstr>
      <vt:lpstr>TARGET</vt:lpstr>
      <vt:lpstr>TemplateVersion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v2019-06-28</dc:title>
  <dc:subject>Security audit of &lt;hidden&gt; for &lt;secret&gt; by 1mm0rt41PC v2019-06-28</dc:subject>
  <dc:creator>NUEL Guillaume</dc:creator>
  <cp:keywords/>
  <dc:description>Security audit of &lt;hidden&gt; for &lt;secret&gt; by 1mm0rt41PC v2019-06-28</dc:description>
  <cp:lastModifiedBy>1mm0rt41PC</cp:lastModifiedBy>
  <cp:revision>0</cp:revision>
  <dcterms:created xsi:type="dcterms:W3CDTF">2011-06-07T11:38:29Z</dcterms:created>
  <dcterms:modified xsi:type="dcterms:W3CDTF">2019-06-28T10:24:25Z</dcterms:modified>
  <cp:category>Audit Documents</cp:category>
</cp:coreProperties>
</file>