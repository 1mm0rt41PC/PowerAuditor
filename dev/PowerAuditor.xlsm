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139DBAAF-CA01-4CCA-8C92-C979A955B61A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PowerAuditor" sheetId="9" r:id="rId1"/>
    <sheet name="NES_TI_v1-EN" sheetId="42" r:id="rId2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'NES_TI_v1-EN'!$AE$26:$AE$29</definedName>
    <definedName name="NES_v1_matrix_DR" localSheetId="1">'NES_TI_v1-EN'!$Q$30</definedName>
    <definedName name="NES_v1_matrix_EI" localSheetId="1">'NES_TI_v1-EN'!$Q$37</definedName>
    <definedName name="NES_v1_matrix_Priority">'NES_TI_v1-EN'!$W$25</definedName>
    <definedName name="NES_v1_matrix_Risk">'NES_TI_v1-EN'!$W$32</definedName>
    <definedName name="OWASP_T10_EN" localSheetId="1">'NES_TI_v1-EN'!$AD$26:$AD$35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 localSheetId="1">REPORT_TYPE_TBL[REPORT TYPE]</definedName>
    <definedName name="REPORT_TYPE_LIST">REPORT_TYPE_TBL[REPORT TYPE]</definedName>
    <definedName name="SCOPE">PowerAuditor!$F$14</definedName>
    <definedName name="TARGET">PowerAuditor!$F$10</definedName>
    <definedName name="TemplateVersion">'NES_TI_v1-EN'!$AF$26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42" l="1"/>
  <c r="N3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charset val="1"/>
          </rPr>
          <t>1mm0rt41PC:</t>
        </r>
        <r>
          <rPr>
            <sz val="9"/>
            <color indexed="81"/>
            <rFont val="Tahoma"/>
            <charset val="1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<sst xmlns="http://schemas.openxmlformats.org/spreadsheetml/2006/main" count="86" uniqueCount="77">
  <si>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</si>
  <si>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</si>
  <si>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</si>
  <si>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</si>
  <si>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</si>
  <si>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</si>
  <si>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</si>
  <si>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</si>
  <si>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</si>
  <si>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</si>
  <si>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</si>
  <si>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</si>
  <si>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</si>
  <si>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</si>
  <si>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</si>
  <si>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</si>
  <si>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</si>
  <si>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</si>
  <si>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</si>
  <si>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</si>
  <si>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</si>
  <si>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</si>
  <si>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</si>
  <si>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</si>
  <si>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</si>
  <si>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</si>
  <si>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</si>
  <si>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</si>
  <si>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</si>
  <si>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</si>
  <si>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</si>
  <si>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</si>
  <si>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</si>
  <si>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</si>
  <si>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</si>
  <si>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</si>
  <si>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</si>
  <si>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</si>
  <si>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</si>
  <si>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</si>
  <si>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</si>
  <si>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</si>
  <si>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</si>
  <si>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</si>
  <si>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</si>
  <si>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VERSION</t>
  </si>
  <si>
    <t>2019-06-5</t>
  </si>
  <si>
    <t>NES_TI_v1-EN</t>
  </si>
  <si>
    <t>Vulnerability name</t>
  </si>
  <si>
    <t>Account 
required</t>
  </si>
  <si>
    <t>Category</t>
  </si>
  <si>
    <t>Difficulty of 
exploitation ( E )</t>
  </si>
  <si>
    <t>Risk (E x I) 
= ( R )</t>
  </si>
  <si>
    <t>Remediation</t>
  </si>
  <si>
    <t>Type of 
remediation</t>
  </si>
  <si>
    <t>Level of effort ( D )</t>
  </si>
  <si>
    <t>Priority ( P )</t>
  </si>
  <si>
    <t>4 - CRITICAL</t>
  </si>
  <si>
    <t>Priority</t>
  </si>
  <si>
    <t>TOP TEN OWASP EN</t>
  </si>
  <si>
    <t>1 - BEST EFFORT</t>
  </si>
  <si>
    <t>2 - IMPORTANT</t>
  </si>
  <si>
    <t>A2 – Broken Authentication and Session Management</t>
  </si>
  <si>
    <t>3 - LOW</t>
  </si>
  <si>
    <t>3 - URGENT</t>
  </si>
  <si>
    <t>2 - MEDIUM</t>
  </si>
  <si>
    <t>4 - IMMEDIATELY</t>
  </si>
  <si>
    <t>A4 – Broken Access Control</t>
  </si>
  <si>
    <t>1 - HIGH</t>
  </si>
  <si>
    <t>A5 – Security Misconfiguration</t>
  </si>
  <si>
    <t>A6 – Sensitive Data Exposure</t>
  </si>
  <si>
    <t>A7 – Insufficient Attack Protection</t>
  </si>
  <si>
    <t>1 - LOW</t>
  </si>
  <si>
    <t>A8 – Cross-Site Request Forgery (CSRF)</t>
  </si>
  <si>
    <t>A9 – Using Components with Known Vulnerabilities</t>
  </si>
  <si>
    <t>3 - HIGH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</si>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</sst>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1"/>
      <color theme="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67">
    <xf numFmtId="0" fontId="0" fillId="0" borderId="0"/>
    <xf numFmtId="0" fontId="58" fillId="0" borderId="0"/>
    <xf numFmtId="0" fontId="59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61" fillId="0" borderId="0"/>
    <xf numFmtId="0" fontId="56" fillId="0" borderId="0"/>
    <xf numFmtId="0" fontId="55" fillId="0" borderId="0"/>
    <xf numFmtId="0" fontId="54" fillId="0" borderId="0"/>
    <xf numFmtId="0" fontId="62" fillId="0" borderId="0" applyNumberFormat="0" applyFill="0" applyBorder="0" applyAlignment="0" applyProtection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37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2" fillId="0" borderId="4" xfId="9" applyBorder="1" applyAlignment="1">
      <alignment horizontal="center" vertical="center"/>
    </xf>
    <xf numFmtId="0" fontId="63" fillId="0" borderId="1" xfId="0" applyFont="1" applyBorder="1"/>
    <xf numFmtId="0" fontId="63" fillId="0" borderId="3" xfId="0" applyFont="1" applyBorder="1"/>
    <xf numFmtId="0" fontId="63" fillId="0" borderId="5" xfId="0" applyFont="1" applyBorder="1"/>
    <xf numFmtId="0" fontId="61" fillId="0" borderId="0" xfId="5"/>
    <xf numFmtId="0" fontId="61" fillId="0" borderId="0" xfId="5" applyAlignment="1">
      <alignment horizontal="center" vertical="center"/>
    </xf>
    <xf numFmtId="0" fontId="64" fillId="0" borderId="0" xfId="5" applyFont="1"/>
    <xf numFmtId="0" fontId="64" fillId="3" borderId="0" xfId="5" applyFont="1" applyFill="1" applyAlignment="1">
      <alignment horizontal="center" vertical="center"/>
    </xf>
    <xf numFmtId="0" fontId="64" fillId="4" borderId="0" xfId="5" applyFont="1" applyFill="1" applyAlignment="1">
      <alignment horizontal="center" vertical="center"/>
    </xf>
    <xf numFmtId="0" fontId="64" fillId="5" borderId="0" xfId="5" applyFont="1" applyFill="1"/>
    <xf numFmtId="0" fontId="64" fillId="6" borderId="0" xfId="5" applyFont="1" applyFill="1" applyAlignment="1">
      <alignment horizontal="center" vertical="center"/>
    </xf>
    <xf numFmtId="0" fontId="64" fillId="7" borderId="0" xfId="5" applyFont="1" applyFill="1" applyAlignment="1">
      <alignment horizontal="center" vertical="center"/>
    </xf>
    <xf numFmtId="0" fontId="64" fillId="7" borderId="0" xfId="5" applyFont="1" applyFill="1"/>
    <xf numFmtId="0" fontId="64" fillId="5" borderId="0" xfId="5" applyFont="1" applyFill="1" applyAlignment="1">
      <alignment horizontal="center" vertical="center"/>
    </xf>
    <xf numFmtId="0" fontId="65" fillId="8" borderId="7" xfId="5" applyFont="1" applyFill="1" applyBorder="1" applyAlignment="1">
      <alignment horizontal="left" vertical="center" wrapText="1" shrinkToFit="1"/>
    </xf>
    <xf numFmtId="0" fontId="64" fillId="3" borderId="0" xfId="5" applyFont="1" applyFill="1"/>
    <xf numFmtId="0" fontId="66" fillId="5" borderId="0" xfId="5" applyFont="1" applyFill="1"/>
    <xf numFmtId="0" fontId="67" fillId="9" borderId="0" xfId="5" applyFont="1" applyFill="1" applyAlignment="1">
      <alignment horizontal="center" vertical="center" wrapText="1" shrinkToFit="1"/>
    </xf>
    <xf numFmtId="0" fontId="61" fillId="0" borderId="0" xfId="5" applyAlignment="1">
      <alignment horizontal="center" vertical="center" wrapText="1" shrinkToFit="1"/>
    </xf>
    <xf numFmtId="0" fontId="61" fillId="0" borderId="0" xfId="5" applyAlignment="1">
      <alignment horizontal="left" vertical="center" wrapText="1" shrinkToFit="1"/>
    </xf>
    <xf numFmtId="0" fontId="64" fillId="0" borderId="0" xfId="5" applyFont="1" applyAlignment="1">
      <alignment horizontal="left" vertical="center" wrapText="1" shrinkToFit="1"/>
    </xf>
    <xf numFmtId="0" fontId="63" fillId="0" borderId="0" xfId="5" applyFont="1" applyAlignment="1">
      <alignment horizontal="center" vertical="center" wrapText="1" shrinkToFit="1"/>
    </xf>
    <xf numFmtId="0" fontId="61" fillId="0" borderId="0" xfId="5" applyAlignment="1">
      <alignment horizontal="center"/>
    </xf>
    <xf numFmtId="49" fontId="0" fillId="0" borderId="0" xfId="0" applyNumberFormat="1"/>
    <xf numFmtId="0" fontId="67" fillId="0" borderId="0" xfId="5" applyFont="1" applyAlignment="1">
      <alignment horizontal="center" vertical="center" wrapText="1" shrinkToFit="1"/>
    </xf>
    <xf numFmtId="0" fontId="71" fillId="10" borderId="6" xfId="2" applyFont="1" applyFill="1" applyBorder="1" applyAlignment="1" applyProtection="1">
      <alignment horizontal="center"/>
      <protection locked="0"/>
    </xf>
    <xf numFmtId="0" fontId="64" fillId="0" borderId="0" xfId="5" applyFont="1" applyAlignment="1">
      <alignment horizontal="center" vertical="center" textRotation="90"/>
    </xf>
    <xf numFmtId="0" fontId="64" fillId="0" borderId="0" xfId="5" applyFont="1" applyAlignment="1">
      <alignment horizontal="center"/>
    </xf>
    <xf numFmtId="0" fontId="61" fillId="0" borderId="0" xfId="5" applyAlignment="1">
      <alignment horizontal="center" vertical="center" wrapText="1"/>
    </xf>
    <xf numFmtId="0" fontId="1" fillId="0" borderId="0" xfId="66"/>
    <xf numFmtId="0" fontId="68" fillId="0" borderId="0" xfId="5" applyFont="1"/>
    <xf numFmtId="14" fontId="61" fillId="0" borderId="0" xfId="5" applyNumberFormat="1"/>
  </cellXfs>
  <cellStyles count="67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FDCF95-5CD8-4E31-91FF-D1E9550977CE}" name="Tableau22" displayName="Tableau22" ref="A1:N3" totalsRowShown="0" headerRowDxfId="15" dataDxfId="14">
  <autoFilter ref="A1:N3" xr:uid="{00000000-0009-0000-0100-000001000000}"/>
  <tableColumns count="14">
    <tableColumn id="1" xr3:uid="{E2B8ED28-BBC0-4300-90BE-C7C83B140D88}" name="Id #" dataDxfId="13"/>
    <tableColumn id="2" xr3:uid="{A031DB15-27E3-41A4-AE46-996766C2178E}" name="Target" dataDxfId="12"/>
    <tableColumn id="3" xr3:uid="{DF5BF329-73A9-4652-8AF7-C4522226A13D}" name="Vulnerability name" dataDxfId="11"/>
    <tableColumn id="4" xr3:uid="{882F785C-C61C-4145-8966-0C2627DFD761}" name="Account _x000a_required" dataDxfId="10"/>
    <tableColumn id="14" xr3:uid="{1BDB1D3A-97CF-4B5E-8605-1E9B7530D1BD}" name="Category" dataDxfId="9"/>
    <tableColumn id="5" xr3:uid="{9F1EAE29-A4BB-4EFA-92EF-9B4C1E34578D}" name="Description" dataDxfId="8"/>
    <tableColumn id="6" xr3:uid="{1CA4C26C-E4EE-4418-99BD-76CF98A069C3}" name="Difficulty of _x000a_exploitation ( E )" dataDxfId="7"/>
    <tableColumn id="7" xr3:uid="{7DB1F8FF-E0E6-4214-9B17-CA959716A67A}" name="Impact ( I )" dataDxfId="6"/>
    <tableColumn id="8" xr3:uid="{29C38B99-C465-4285-8A4C-B7EACB9B440A}" name="Risk (E x I) _x000a_= ( R )" dataDxfId="5">
      <calculatedColumnFormula>IF(OR(AND(H2="CRITICAL",OR(G2="TRIVIAL",G2="EASY")), AND(H2="HIGH",G2="TRIVIAL") ), "CRITICAL", IF(OR(AND(H2="LOW",OR(G2="SOPHISTICATED",G2="MEDIUM")),AND(H2="MEDIUM",G2="SOPHISTICATED")), "LOW", IF(OR(AND(H2="HIGH",OR(G2="EASY",G2="MEDIUM")),AND(H2="MEDIUM",G2="TRIVIAL"), AND(H2="CRITICAL",G2="MEDIUM")), "HIGH", "MEDIUM")))</calculatedColumnFormula>
    </tableColumn>
    <tableColumn id="9" xr3:uid="{87E3870E-93D0-49AD-8E0B-2775B59DBC75}" name="Remediation" dataDxfId="4"/>
    <tableColumn id="10" xr3:uid="{4FC23CDA-1866-45C4-AC4C-53054E8C5CD2}" name="Risk" dataDxfId="3"/>
    <tableColumn id="11" xr3:uid="{C9DEBF7E-C304-4C90-AD2A-4EE40999F86D}" name="Type of _x000a_remediation" dataDxfId="2"/>
    <tableColumn id="12" xr3:uid="{67420460-CD93-4370-A453-EE55C1A8AD37}" name="Level of effort ( D )" dataDxfId="1"/>
    <tableColumn id="13" xr3:uid="{8913DABC-27E8-4699-AC8E-7DDFDFEDDDF2}" name="Priority ( P )" dataDxfId="0">
      <calculatedColumnFormula>IF(OR(AND(I2="CRITICAL",OR(M2="LOW",M2="MEDIUM")), AND(I2="HIGH",M2="LOW") ), "IMMEDIATELY", IF(OR(AND(I2="LOW",OR(M2="MEDIUM",M2="HIGH",M2="CRITICAL",)),AND(I2="MEDIUM",M2="CRITICAL")), "BEST EFFORT", IF(OR(AND(I2="HIGH",OR(M2="MEDIUM",M2="HIGH")),AND(I2="MEDIUM",M2="LOW"), AND(I2="CRITICAL",M2="HIGH")), "URGENT", "IMPORTANT")))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67076-433A-41CA-8692-7D2C70A3385C}" name="Tableau2" displayName="Tableau2" ref="AD25:AF35" totalsRowShown="0">
  <autoFilter ref="AD25:AF35" xr:uid="{BBD77D54-1E6A-4A1D-A21A-B4AEDF894660}"/>
  <tableColumns count="3">
    <tableColumn id="1" xr3:uid="{464B6180-E94B-41E3-BD45-AA1F235D46FD}" name="TOP TEN OWASP EN"/>
    <tableColumn id="2" xr3:uid="{E2FD5903-5B2C-4898-89C6-6124FF0EAD74}" name="LEVEL" dataCellStyle="Normal 2 3"/>
    <tableColumn id="3" xr3:uid="{139A26F0-6B7C-46FC-A07B-C54854ABB612}" name="VERSION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 t="s">
        <v>47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3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28" t="s">
        <v>46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F9FD8-0673-4990-BFE7-ACEF4967616B}">
  <sheetPr codeName="RT_NES_TI_v1"/>
  <dimension ref="A1:AF41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E6" sqref="E6"/>
    </sheetView>
  </sheetViews>
  <sheetFormatPr baseColWidth="10" defaultColWidth="11.5546875" defaultRowHeight="14.4" x14ac:dyDescent="0.3"/>
  <cols>
    <col min="1" max="1" width="4.5546875" style="9" customWidth="1"/>
    <col min="2" max="3" width="30.88671875" style="9" customWidth="1"/>
    <col min="4" max="4" width="9.109375" style="9" customWidth="1"/>
    <col min="5" max="5" width="30.88671875" style="9" customWidth="1"/>
    <col min="6" max="6" width="29.6640625" style="9" customWidth="1"/>
    <col min="7" max="7" width="20.88671875" style="9" customWidth="1"/>
    <col min="8" max="8" width="16" style="9" customWidth="1"/>
    <col min="9" max="9" width="20.44140625" style="9" customWidth="1"/>
    <col min="10" max="10" width="30.88671875" style="9" customWidth="1"/>
    <col min="11" max="11" width="14.44140625" style="9" customWidth="1"/>
    <col min="12" max="13" width="20.88671875" style="9" customWidth="1"/>
    <col min="14" max="14" width="16.33203125" style="9" bestFit="1" customWidth="1"/>
    <col min="15" max="15" width="11.5546875" style="9"/>
    <col min="16" max="16" width="11.5546875" style="9" customWidth="1"/>
    <col min="17" max="22" width="11.5546875" style="9" hidden="1" customWidth="1"/>
    <col min="23" max="23" width="15.77734375" style="9" hidden="1" customWidth="1"/>
    <col min="24" max="29" width="11.5546875" style="9" hidden="1" customWidth="1"/>
    <col min="30" max="30" width="48.109375" style="9" hidden="1" customWidth="1"/>
    <col min="31" max="31" width="11.6640625" style="9" hidden="1" customWidth="1"/>
    <col min="32" max="32" width="0" style="9" hidden="1" customWidth="1"/>
    <col min="33" max="16384" width="11.5546875" style="9"/>
  </cols>
  <sheetData>
    <row r="1" spans="1:15" ht="28.8" x14ac:dyDescent="0.3">
      <c r="A1" s="10" t="s">
        <v>44</v>
      </c>
      <c r="B1" s="10" t="s">
        <v>0</v>
      </c>
      <c r="C1" s="10" t="s">
        <v>48</v>
      </c>
      <c r="D1" s="33" t="s">
        <v>49</v>
      </c>
      <c r="E1" s="33" t="s">
        <v>50</v>
      </c>
      <c r="F1" s="10" t="s">
        <v>43</v>
      </c>
      <c r="G1" s="33" t="s">
        <v>51</v>
      </c>
      <c r="H1" s="10" t="s">
        <v>42</v>
      </c>
      <c r="I1" s="33" t="s">
        <v>52</v>
      </c>
      <c r="J1" s="10" t="s">
        <v>53</v>
      </c>
      <c r="K1" s="10" t="s">
        <v>25</v>
      </c>
      <c r="L1" s="33" t="s">
        <v>54</v>
      </c>
      <c r="M1" s="10" t="s">
        <v>55</v>
      </c>
      <c r="N1" s="10" t="s">
        <v>56</v>
      </c>
    </row>
    <row r="2" spans="1:15" s="27" customFormat="1" hidden="1" x14ac:dyDescent="0.3">
      <c r="A2" s="23" t="s">
        <v>41</v>
      </c>
      <c r="B2" s="23" t="s">
        <v>40</v>
      </c>
      <c r="C2" s="23" t="s">
        <v>39</v>
      </c>
      <c r="D2" s="23" t="s">
        <v>38</v>
      </c>
      <c r="E2" s="23" t="s">
        <v>37</v>
      </c>
      <c r="F2" s="23" t="s">
        <v>36</v>
      </c>
      <c r="G2" s="23" t="s">
        <v>35</v>
      </c>
      <c r="H2" s="23" t="s">
        <v>34</v>
      </c>
      <c r="I2" s="23" t="s">
        <v>33</v>
      </c>
      <c r="J2" s="23" t="s">
        <v>32</v>
      </c>
      <c r="K2" s="23" t="s">
        <v>31</v>
      </c>
      <c r="L2" s="23" t="s">
        <v>30</v>
      </c>
      <c r="M2" s="23" t="s">
        <v>29</v>
      </c>
      <c r="N2" s="23" t="s">
        <v>28</v>
      </c>
      <c r="O2" s="23"/>
    </row>
    <row r="3" spans="1:15" x14ac:dyDescent="0.3">
      <c r="A3" s="23"/>
      <c r="B3" s="23"/>
      <c r="C3" s="26"/>
      <c r="D3" s="23"/>
      <c r="E3" s="25"/>
      <c r="F3" s="24"/>
      <c r="G3" s="22" t="s">
        <v>27</v>
      </c>
      <c r="H3" s="22" t="s">
        <v>57</v>
      </c>
      <c r="I3" s="29" t="str">
        <f ca="1">INDIRECT(CONCATENATE(ADDRESS(CELL("ligne",NES_v1_matrix_Risk)+INDIRECT(CONCATENATE(ADDRESS(CELL("ligne",NES_v1_matrix_EI) - LEFT(Tableau22[[#This Row],[Impact ( I )]],1),CELL("colonne", NES_v1_matrix_EI) + LEFT(Tableau22[[#This Row],[Difficulty of 
exploitation ( E )]],1)))),CELL("colonne",NES_v1_matrix_Risk))))</f>
        <v>4 - CRITICAL</v>
      </c>
      <c r="J3" s="23"/>
      <c r="K3" s="23"/>
      <c r="L3" s="23"/>
      <c r="M3" s="22" t="s">
        <v>57</v>
      </c>
      <c r="N3" s="29" t="str">
        <f ca="1">INDIRECT(CONCATENATE(ADDRESS(CELL("ligne",NES_v1_matrix_Priority)+INDIRECT(CONCATENATE(ADDRESS(CELL("ligne",NES_v1_matrix_DR) - LEFT(Tableau22[[#This Row],[Risk (E x I) 
= ( R )]],1),CELL("colonne", NES_v1_matrix_DR) + LEFT(Tableau22[[#This Row],[Level of effort ( D )]],1)))),CELL("colonne",NES_v1_matrix_Priority))))</f>
        <v>2 - IMPORTANT</v>
      </c>
    </row>
    <row r="23" spans="16:32" x14ac:dyDescent="0.3"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6:32" x14ac:dyDescent="0.3"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6:32" x14ac:dyDescent="0.3">
      <c r="P25" s="11"/>
      <c r="Q25" s="11"/>
      <c r="R25" s="11"/>
      <c r="S25" s="11"/>
      <c r="T25" s="11"/>
      <c r="U25" s="11"/>
      <c r="V25" s="11"/>
      <c r="W25" s="11" t="s">
        <v>58</v>
      </c>
      <c r="X25" s="11"/>
      <c r="Y25" s="11"/>
      <c r="Z25" s="11"/>
      <c r="AA25" s="11"/>
      <c r="AB25" s="11"/>
      <c r="AC25" s="11"/>
      <c r="AD25" s="34" t="s">
        <v>59</v>
      </c>
      <c r="AE25" s="35" t="s">
        <v>26</v>
      </c>
      <c r="AF25" s="35" t="s">
        <v>45</v>
      </c>
    </row>
    <row r="26" spans="16:32" x14ac:dyDescent="0.3">
      <c r="P26" s="11"/>
      <c r="Q26" s="31" t="s">
        <v>25</v>
      </c>
      <c r="R26" s="18">
        <v>4</v>
      </c>
      <c r="S26" s="18">
        <v>4</v>
      </c>
      <c r="T26" s="16">
        <v>3</v>
      </c>
      <c r="U26" s="13">
        <v>2</v>
      </c>
      <c r="V26" s="11"/>
      <c r="W26" s="20" t="s">
        <v>60</v>
      </c>
      <c r="X26" s="11"/>
      <c r="Y26" s="11"/>
      <c r="Z26" s="11"/>
      <c r="AA26" s="11"/>
      <c r="AB26" s="11"/>
      <c r="AC26" s="11"/>
      <c r="AD26" s="34" t="s">
        <v>24</v>
      </c>
      <c r="AE26" s="21" t="s">
        <v>57</v>
      </c>
      <c r="AF26" s="36">
        <v>43621</v>
      </c>
    </row>
    <row r="27" spans="16:32" x14ac:dyDescent="0.3">
      <c r="P27" s="11"/>
      <c r="Q27" s="31"/>
      <c r="R27" s="18">
        <v>4</v>
      </c>
      <c r="S27" s="16">
        <v>3</v>
      </c>
      <c r="T27" s="16">
        <v>3</v>
      </c>
      <c r="U27" s="13">
        <v>2</v>
      </c>
      <c r="V27" s="11"/>
      <c r="W27" s="19" t="s">
        <v>61</v>
      </c>
      <c r="X27" s="11"/>
      <c r="Y27" s="11"/>
      <c r="Z27" s="11"/>
      <c r="AA27" s="11"/>
      <c r="AB27" s="11"/>
      <c r="AC27" s="11"/>
      <c r="AD27" s="34" t="s">
        <v>62</v>
      </c>
      <c r="AE27" s="17" t="s">
        <v>63</v>
      </c>
    </row>
    <row r="28" spans="16:32" x14ac:dyDescent="0.3">
      <c r="P28" s="11"/>
      <c r="Q28" s="31"/>
      <c r="R28" s="16">
        <v>3</v>
      </c>
      <c r="S28" s="13">
        <v>2</v>
      </c>
      <c r="T28" s="13">
        <v>2</v>
      </c>
      <c r="U28" s="12">
        <v>1</v>
      </c>
      <c r="V28" s="11"/>
      <c r="W28" s="17" t="s">
        <v>64</v>
      </c>
      <c r="X28" s="11"/>
      <c r="Y28" s="11"/>
      <c r="Z28" s="11"/>
      <c r="AA28" s="11"/>
      <c r="AB28" s="11"/>
      <c r="AC28" s="11"/>
      <c r="AD28" s="34" t="s">
        <v>23</v>
      </c>
      <c r="AE28" s="19" t="s">
        <v>65</v>
      </c>
    </row>
    <row r="29" spans="16:32" x14ac:dyDescent="0.3">
      <c r="P29" s="11"/>
      <c r="Q29" s="31"/>
      <c r="R29" s="13">
        <v>2</v>
      </c>
      <c r="S29" s="12">
        <v>1</v>
      </c>
      <c r="T29" s="12">
        <v>1</v>
      </c>
      <c r="U29" s="12">
        <v>1</v>
      </c>
      <c r="V29" s="11"/>
      <c r="W29" s="14" t="s">
        <v>66</v>
      </c>
      <c r="X29" s="11"/>
      <c r="Y29" s="11"/>
      <c r="Z29" s="11"/>
      <c r="AA29" s="11"/>
      <c r="AB29" s="11"/>
      <c r="AC29" s="11"/>
      <c r="AD29" s="34" t="s">
        <v>67</v>
      </c>
      <c r="AE29" s="20" t="s">
        <v>68</v>
      </c>
    </row>
    <row r="30" spans="16:32" x14ac:dyDescent="0.3">
      <c r="P30" s="11"/>
      <c r="Q30" s="11" t="s">
        <v>22</v>
      </c>
      <c r="R30" s="32" t="s">
        <v>21</v>
      </c>
      <c r="S30" s="32"/>
      <c r="T30" s="32"/>
      <c r="U30" s="32"/>
      <c r="V30" s="11"/>
      <c r="W30" s="11"/>
      <c r="X30" s="11"/>
      <c r="Y30" s="11"/>
      <c r="Z30" s="11"/>
      <c r="AA30" s="11"/>
      <c r="AB30" s="11"/>
      <c r="AC30" s="11"/>
      <c r="AD30" s="34" t="s">
        <v>69</v>
      </c>
    </row>
    <row r="31" spans="16:32" x14ac:dyDescent="0.3"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34" t="s">
        <v>70</v>
      </c>
    </row>
    <row r="32" spans="16:32" x14ac:dyDescent="0.3">
      <c r="P32" s="11"/>
      <c r="Q32" s="11"/>
      <c r="R32" s="11"/>
      <c r="S32" s="11"/>
      <c r="T32" s="11"/>
      <c r="U32" s="11"/>
      <c r="V32" s="11"/>
      <c r="W32" s="11" t="s">
        <v>25</v>
      </c>
      <c r="X32" s="11"/>
      <c r="Y32" s="11"/>
      <c r="Z32" s="11"/>
      <c r="AA32" s="11"/>
      <c r="AB32" s="11"/>
      <c r="AC32" s="11"/>
      <c r="AD32" s="34" t="s">
        <v>71</v>
      </c>
    </row>
    <row r="33" spans="16:30" x14ac:dyDescent="0.3">
      <c r="P33" s="11"/>
      <c r="Q33" s="31" t="s">
        <v>20</v>
      </c>
      <c r="R33" s="15">
        <v>2</v>
      </c>
      <c r="S33" s="15">
        <v>3</v>
      </c>
      <c r="T33" s="15">
        <v>4</v>
      </c>
      <c r="U33" s="15">
        <v>4</v>
      </c>
      <c r="V33" s="11"/>
      <c r="W33" s="20" t="s">
        <v>72</v>
      </c>
      <c r="X33" s="11"/>
      <c r="Y33" s="18">
        <v>4</v>
      </c>
      <c r="Z33" s="18">
        <v>4</v>
      </c>
      <c r="AA33" s="16">
        <v>3</v>
      </c>
      <c r="AB33" s="13">
        <v>2</v>
      </c>
      <c r="AC33" s="11"/>
      <c r="AD33" s="34" t="s">
        <v>73</v>
      </c>
    </row>
    <row r="34" spans="16:30" x14ac:dyDescent="0.3">
      <c r="P34" s="11"/>
      <c r="Q34" s="31"/>
      <c r="R34" s="15">
        <v>2</v>
      </c>
      <c r="S34" s="15">
        <v>3</v>
      </c>
      <c r="T34" s="15">
        <v>3</v>
      </c>
      <c r="U34" s="15">
        <v>4</v>
      </c>
      <c r="V34" s="11"/>
      <c r="W34" s="19" t="s">
        <v>65</v>
      </c>
      <c r="X34" s="11"/>
      <c r="Y34" s="18">
        <v>4</v>
      </c>
      <c r="Z34" s="16">
        <v>3</v>
      </c>
      <c r="AA34" s="16">
        <v>3</v>
      </c>
      <c r="AB34" s="13">
        <v>2</v>
      </c>
      <c r="AC34" s="11"/>
      <c r="AD34" s="34" t="s">
        <v>74</v>
      </c>
    </row>
    <row r="35" spans="16:30" x14ac:dyDescent="0.3">
      <c r="P35" s="11"/>
      <c r="Q35" s="31"/>
      <c r="R35" s="15">
        <v>1</v>
      </c>
      <c r="S35" s="15">
        <v>2</v>
      </c>
      <c r="T35" s="15">
        <v>2</v>
      </c>
      <c r="U35" s="15">
        <v>3</v>
      </c>
      <c r="V35" s="11"/>
      <c r="W35" s="17" t="s">
        <v>75</v>
      </c>
      <c r="X35" s="11"/>
      <c r="Y35" s="16">
        <v>3</v>
      </c>
      <c r="Z35" s="13">
        <v>2</v>
      </c>
      <c r="AA35" s="13">
        <v>2</v>
      </c>
      <c r="AB35" s="12">
        <v>1</v>
      </c>
      <c r="AC35" s="11"/>
      <c r="AD35" s="34" t="s">
        <v>76</v>
      </c>
    </row>
    <row r="36" spans="16:30" x14ac:dyDescent="0.3">
      <c r="P36" s="11"/>
      <c r="Q36" s="31"/>
      <c r="R36" s="15">
        <v>1</v>
      </c>
      <c r="S36" s="15">
        <v>1</v>
      </c>
      <c r="T36" s="15">
        <v>1</v>
      </c>
      <c r="U36" s="15">
        <v>2</v>
      </c>
      <c r="V36" s="11"/>
      <c r="W36" s="14" t="s">
        <v>57</v>
      </c>
      <c r="X36" s="11"/>
      <c r="Y36" s="13">
        <v>2</v>
      </c>
      <c r="Z36" s="12">
        <v>1</v>
      </c>
      <c r="AA36" s="12">
        <v>1</v>
      </c>
      <c r="AB36" s="12">
        <v>1</v>
      </c>
      <c r="AC36" s="11"/>
    </row>
    <row r="37" spans="16:30" x14ac:dyDescent="0.3">
      <c r="P37" s="11"/>
      <c r="Q37" s="11" t="s">
        <v>19</v>
      </c>
      <c r="R37" s="32" t="s">
        <v>18</v>
      </c>
      <c r="S37" s="32"/>
      <c r="T37" s="32"/>
      <c r="U37" s="32"/>
      <c r="V37" s="11"/>
      <c r="W37" s="11"/>
      <c r="X37" s="11"/>
      <c r="Y37" s="11"/>
      <c r="Z37" s="11"/>
      <c r="AA37" s="11"/>
      <c r="AB37" s="11"/>
      <c r="AC37" s="11"/>
    </row>
    <row r="38" spans="16:30" x14ac:dyDescent="0.3"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6:30" x14ac:dyDescent="0.3"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6:30" x14ac:dyDescent="0.3"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6:30" x14ac:dyDescent="0.3"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</sheetData>
  <mergeCells count="4">
    <mergeCell ref="Q26:Q29"/>
    <mergeCell ref="R30:U30"/>
    <mergeCell ref="Q33:Q36"/>
    <mergeCell ref="R37:U37"/>
  </mergeCells>
  <conditionalFormatting sqref="R26:U36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3:AB36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G3" xr:uid="{2F42578C-E66F-4E18-A0F9-1C8B88DCBE3C}">
      <formula1>"4 - TRIVIAL, 3 - EASY, 2 - MEDIUM, 1 - SOPHISTICATED"</formula1>
    </dataValidation>
    <dataValidation type="list" allowBlank="1" showInputMessage="1" showErrorMessage="1" sqref="H3" xr:uid="{A61D4A50-08D2-4D91-AB2B-137B08711DB2}">
      <formula1>"4 - CRITICAL, 3 - HIGH, 2 - MEDIUM, 1 - LOW"</formula1>
    </dataValidation>
    <dataValidation type="list" allowBlank="1" showInputMessage="1" showErrorMessage="1" sqref="M3" xr:uid="{C94304CB-DEB5-4B2E-970C-8D592E2F2E42}">
      <formula1>"4 - CRITICAL,3 - HIGH,2 - MEDIUM,1 - LOW"</formula1>
    </dataValidation>
    <dataValidation type="list" allowBlank="1" showInputMessage="1" showErrorMessage="1" sqref="L3" xr:uid="{E83BC1D5-0A1D-451D-8674-980CD381857C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E3" xr:uid="{21E5BE80-203D-49DC-945E-EF88CE9144ED}">
      <formula1>OWASP_T10_EN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6DBF2E4B-3D8F-4A5B-8F6E-0E0AD812FC6B}">
            <xm:f>LEFT(G1,LEN("1 - "))="1 - "</xm:f>
            <xm:f>"1 - "</xm:f>
            <x14:dxf>
              <fill>
                <patternFill>
                  <bgColor rgb="FF00B050"/>
                </patternFill>
              </fill>
            </x14:dxf>
          </x14:cfRule>
          <x14:cfRule type="beginsWith" priority="12" operator="beginsWith" id="{BA3C007B-2C6D-43EF-A4F2-BEDA356A7EDF}">
            <xm:f>LEFT(G1,LEN("4 - "))="4 - "</xm:f>
            <xm:f>"4 - "</xm:f>
            <x14:dxf>
              <fill>
                <patternFill>
                  <bgColor rgb="FFFF00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0" operator="beginsWith" id="{C97BF006-6104-4A03-9624-133AD6BEDA08}">
            <xm:f>LEFT(G1,LEN("2 - "))="2 - "</xm:f>
            <xm:f>"2 - "</xm:f>
            <x14:dxf>
              <fill>
                <patternFill>
                  <bgColor rgb="FFFFFF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1" operator="beginsWith" id="{DC50A4F0-79E0-4582-B250-16D62F7793AA}">
            <xm:f>LEFT(G1,LEN("3 - "))="3 - "</xm:f>
            <xm:f>"3 - "</xm:f>
            <x14:dxf>
              <fill>
                <patternFill>
                  <bgColor rgb="FFFFC000"/>
                </patternFill>
              </fill>
            </x14:dxf>
          </x14:cfRule>
          <xm:sqref>M1:N1048576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20</vt:i4>
      </vt:variant>
    </vt:vector>
  </HeadingPairs>
  <TitlesOfParts>
    <vt:vector size="22" baseType="lpstr">
      <vt:lpstr>PowerAuditor</vt:lpstr>
      <vt:lpstr>NES_TI_v1-EN</vt:lpstr>
      <vt:lpstr>BEGIN_DATE</vt:lpstr>
      <vt:lpstr>CLIENT</vt:lpstr>
      <vt:lpstr>END_DATE</vt:lpstr>
      <vt:lpstr>LEVEL</vt:lpstr>
      <vt:lpstr>LEVEL_LIST</vt:lpstr>
      <vt:lpstr>'NES_TI_v1-EN'!NES_v1_matrix_DR</vt:lpstr>
      <vt:lpstr>'NES_TI_v1-EN'!NES_v1_matrix_EI</vt:lpstr>
      <vt:lpstr>NES_v1_matrix_Priority</vt:lpstr>
      <vt:lpstr>NES_v1_matrix_Risk</vt:lpstr>
      <vt:lpstr>'NES_TI_v1-EN'!OWASP_T10_EN</vt:lpstr>
      <vt:lpstr>OWASP_T10_EN</vt:lpstr>
      <vt:lpstr>OWASP_T10_FR</vt:lpstr>
      <vt:lpstr>PowerAuditorVersion</vt:lpstr>
      <vt:lpstr>REPORT_TYPE</vt:lpstr>
      <vt:lpstr>'NES_TI_v1-EN'!REPORT_TYPE_LIST</vt:lpstr>
      <vt:lpstr>REPORT_TYPE_LIST</vt:lpstr>
      <vt:lpstr>SCOPE</vt:lpstr>
      <vt:lpstr>TARGET</vt:lpstr>
      <vt:lpstr>TemplateVersion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v2019-06-05</dc:title>
  <dc:subject>Security audit of &lt;hidden&gt; for &lt;secret&gt; by 1mm0rt41PC v2019-06-05</dc:subject>
  <dc:creator>NUEL Guillaume</dc:creator>
  <cp:keywords/>
  <dc:description>Security audit of &lt;hidden&gt; for &lt;secret&gt; by 1mm0rt41PC v2019-06-05</dc:description>
  <cp:lastModifiedBy>1mm0rt41PC</cp:lastModifiedBy>
  <cp:revision>0</cp:revision>
  <dcterms:created xsi:type="dcterms:W3CDTF">2011-06-07T11:38:29Z</dcterms:created>
  <dcterms:modified xsi:type="dcterms:W3CDTF">2019-06-05T12:41:26Z</dcterms:modified>
  <cp:category>Audit Documents</cp:category>
</cp:coreProperties>
</file>