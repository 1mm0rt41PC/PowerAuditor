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a843d07d83f24efa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Dev\PowerAuditor\dev\"/>
    </mc:Choice>
  </mc:AlternateContent>
  <xr:revisionPtr revIDLastSave="0" documentId="13_ncr:1_{9FF98775-C190-4E3D-8A3B-596F25CF089C}" xr6:coauthVersionLast="43" xr6:coauthVersionMax="43" xr10:uidLastSave="{00000000-0000-0000-0000-000000000000}"/>
  <bookViews>
    <workbookView xWindow="-108" yWindow="-108" windowWidth="23256" windowHeight="12720" xr2:uid="{00000000-000D-0000-FFFF-FFFF00000000}"/>
  </bookViews>
  <sheets>
    <sheet name="PowerAuditor" sheetId="9" r:id="rId1"/>
    <sheet name="NES_TI_v1-EN" sheetId="28" r:id="rId2"/>
  </sheets>
  <functionGroups builtInGroupCount="19"/>
  <externalReferences>
    <externalReference r:id="rId3"/>
  </externalReferences>
  <definedNames>
    <definedName name="BEGIN_DATE">PowerAuditor!$F$12</definedName>
    <definedName name="CLIENT">PowerAuditor!$F$9</definedName>
    <definedName name="END_DATE">PowerAuditor!$F$13</definedName>
    <definedName name="LEVEL">PowerAuditor!$F$16</definedName>
    <definedName name="LEVEL_LIST">'NES_TI_v1-EN'!$AE$26:$AE$29</definedName>
    <definedName name="NES_v1_matrix_DR" localSheetId="1">'NES_TI_v1-EN'!$Q$30</definedName>
    <definedName name="NES_v1_matrix_EI" localSheetId="1">'NES_TI_v1-EN'!$Q$37</definedName>
    <definedName name="NES_v1_matrix_Priority">'NES_TI_v1-EN'!$W$25</definedName>
    <definedName name="NES_v1_matrix_Risk">'NES_TI_v1-EN'!$W$32</definedName>
    <definedName name="OWASP_T10_EN" localSheetId="1">'NES_TI_v1-EN'!$AD$26:$AD$35</definedName>
    <definedName name="OWASP_T10_EN">PowerAuditor!$A$38:$A$47</definedName>
    <definedName name="OWASP_T10_FR">PowerAuditor!$B$38:$B$47</definedName>
    <definedName name="REPORT_TYPE">PowerAuditor!$F$15</definedName>
    <definedName name="REPORT_TYPE_LIST" localSheetId="1">[1]PowerAuditor!$C$39:$C$40</definedName>
    <definedName name="REPORT_TYPE_LIST">REPORT_TYPE_TBL[REPORT TYPE]</definedName>
    <definedName name="SCOPE">PowerAuditor!$F$14</definedName>
    <definedName name="TARGET">PowerAuditor!$F$10</definedName>
    <definedName name="VERSION_DATE">PowerAuditor!$F$11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28" l="1"/>
  <c r="N3" i="28"/>
</calcChain>
</file>

<file path=xl/sharedStrings.xml><?xml version="1.0" encoding="utf-8"?>
<sst xmlns="http://schemas.openxmlformats.org/spreadsheetml/2006/main" count="84" uniqueCount="76">
  <si>
    <t>Target</t>
  </si>
  <si>
    <t>Client</t>
  </si>
  <si>
    <t>Version</t>
  </si>
  <si>
    <t>Begin</t>
  </si>
  <si>
    <t>End</t>
  </si>
  <si>
    <t>Global level</t>
  </si>
  <si>
    <t>Report Type</t>
  </si>
  <si>
    <t>Value</t>
  </si>
  <si>
    <t>Key</t>
  </si>
  <si>
    <t>REPORT TYPE</t>
  </si>
  <si>
    <t>2018-11-15</t>
  </si>
  <si>
    <t>2018-11-16</t>
  </si>
  <si>
    <t>2018-11-12</t>
  </si>
  <si>
    <t>www.poney.club</t>
  </si>
  <si>
    <t>Scope</t>
  </si>
  <si>
    <t>myCli</t>
  </si>
  <si>
    <t>Example_v1</t>
  </si>
  <si>
    <t>My Pony WebSite</t>
  </si>
  <si>
    <t>NES_TI_v1</t>
  </si>
  <si>
    <t>Exploitation</t>
  </si>
  <si>
    <t>EI</t>
  </si>
  <si>
    <t>Impact</t>
  </si>
  <si>
    <t>Diff reco</t>
  </si>
  <si>
    <t>DR</t>
  </si>
  <si>
    <t>A3 – Cross-Site Scripting (XSS)</t>
  </si>
  <si>
    <t>A1 – Injection</t>
  </si>
  <si>
    <t>Risk</t>
  </si>
  <si>
    <t>LEVEL</t>
  </si>
  <si>
    <t>4 - TRIVIAL</t>
  </si>
  <si>
    <t>P</t>
  </si>
  <si>
    <t>D</t>
  </si>
  <si>
    <t>fixtype</t>
  </si>
  <si>
    <t>risk</t>
  </si>
  <si>
    <t>fix</t>
  </si>
  <si>
    <t>R</t>
  </si>
  <si>
    <t>I</t>
  </si>
  <si>
    <t>E</t>
  </si>
  <si>
    <t>desc</t>
  </si>
  <si>
    <t>category</t>
  </si>
  <si>
    <t>account</t>
  </si>
  <si>
    <t>name</t>
  </si>
  <si>
    <t>target</t>
  </si>
  <si>
    <t>id</t>
  </si>
  <si>
    <t>Impact ( I )</t>
  </si>
  <si>
    <t>Description</t>
  </si>
  <si>
    <t>Id #</t>
  </si>
  <si>
    <t>NES_TI_v1-EN</t>
  </si>
  <si>
    <t>Vulnerability name</t>
  </si>
  <si>
    <t>Account 
required</t>
  </si>
  <si>
    <t>Category</t>
  </si>
  <si>
    <t>Difficulty of 
exploitation ( E )</t>
  </si>
  <si>
    <t>Risk (E x I) 
= ( R )</t>
  </si>
  <si>
    <t>Remediation</t>
  </si>
  <si>
    <t>Type of 
remediation</t>
  </si>
  <si>
    <t>Level of effort ( D )</t>
  </si>
  <si>
    <t>Priority ( P )</t>
  </si>
  <si>
    <t>4 - CRITICAL</t>
  </si>
  <si>
    <t>Priority</t>
  </si>
  <si>
    <t>TOP TEN OWASP EN</t>
  </si>
  <si>
    <t>1 - BEST EFFORT</t>
  </si>
  <si>
    <t>2 - IMPORTANT</t>
  </si>
  <si>
    <t>A2 – Broken Authentication and Session Management</t>
  </si>
  <si>
    <t>3 - LOW</t>
  </si>
  <si>
    <t>3 - URGENT</t>
  </si>
  <si>
    <t>2 - MEDIUM</t>
  </si>
  <si>
    <t>4 - IMMEDIATELY</t>
  </si>
  <si>
    <t>A4 – Broken Access Control</t>
  </si>
  <si>
    <t>1 - HIGH</t>
  </si>
  <si>
    <t>A5 – Security Misconfiguration</t>
  </si>
  <si>
    <t>A6 – Sensitive Data Exposure</t>
  </si>
  <si>
    <t>A7 – Insufficient Attack Protection</t>
  </si>
  <si>
    <t>1 - LOW</t>
  </si>
  <si>
    <t>A8 – Cross-Site Request Forgery (CSRF)</t>
  </si>
  <si>
    <t>A9 – Using Components with Known Vulnerabilities</t>
  </si>
  <si>
    <t>3 - HIGH</t>
  </si>
  <si>
    <t>A10 – Underprotected APIs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</si>
</sst>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8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rgb="FF000000"/>
      <name val="Calibri"/>
      <family val="2"/>
      <charset val="1"/>
    </font>
    <font>
      <u/>
      <sz val="11"/>
      <color theme="10"/>
      <name val="Calibri"/>
      <family val="2"/>
      <charset val="1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theme="0"/>
      <name val="Calibri"/>
      <family val="2"/>
    </font>
    <font>
      <b/>
      <sz val="10"/>
      <color rgb="FF000000"/>
      <name val="Calibri"/>
      <family val="2"/>
    </font>
    <font>
      <b/>
      <sz val="10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FFC000"/>
        <bgColor rgb="FFFF9900"/>
      </patternFill>
    </fill>
    <fill>
      <patternFill patternType="solid">
        <fgColor rgb="FF0000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55">
    <xf numFmtId="0" fontId="0" fillId="0" borderId="0"/>
    <xf numFmtId="0" fontId="47" fillId="0" borderId="0"/>
    <xf numFmtId="0" fontId="48" fillId="0" borderId="0"/>
    <xf numFmtId="0" fontId="49" fillId="0" borderId="0" applyNumberFormat="0" applyFill="0" applyBorder="0" applyAlignment="0" applyProtection="0">
      <alignment vertical="top"/>
      <protection locked="0"/>
    </xf>
    <xf numFmtId="0" fontId="46" fillId="0" borderId="0"/>
    <xf numFmtId="0" fontId="50" fillId="0" borderId="0"/>
    <xf numFmtId="0" fontId="45" fillId="0" borderId="0"/>
    <xf numFmtId="0" fontId="44" fillId="0" borderId="0"/>
    <xf numFmtId="0" fontId="43" fillId="0" borderId="0"/>
    <xf numFmtId="0" fontId="51" fillId="0" borderId="0" applyNumberFormat="0" applyFill="0" applyBorder="0" applyAlignment="0" applyProtection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1" fillId="0" borderId="0"/>
  </cellStyleXfs>
  <cellXfs count="34">
    <xf numFmtId="0" fontId="0" fillId="0" borderId="0" xfId="0"/>
    <xf numFmtId="0" fontId="0" fillId="2" borderId="0" xfId="0" applyFill="1"/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0" fontId="51" fillId="0" borderId="4" xfId="9" applyBorder="1" applyAlignment="1">
      <alignment horizontal="center" vertical="center"/>
    </xf>
    <xf numFmtId="0" fontId="52" fillId="0" borderId="1" xfId="0" applyFont="1" applyBorder="1"/>
    <xf numFmtId="0" fontId="52" fillId="0" borderId="3" xfId="0" applyFont="1" applyBorder="1"/>
    <xf numFmtId="0" fontId="52" fillId="0" borderId="5" xfId="0" applyFont="1" applyBorder="1"/>
    <xf numFmtId="0" fontId="50" fillId="0" borderId="0" xfId="5"/>
    <xf numFmtId="0" fontId="50" fillId="0" borderId="0" xfId="5" applyAlignment="1">
      <alignment horizontal="center" vertical="center"/>
    </xf>
    <xf numFmtId="0" fontId="53" fillId="0" borderId="0" xfId="5" applyFont="1"/>
    <xf numFmtId="0" fontId="53" fillId="3" borderId="0" xfId="5" applyFont="1" applyFill="1" applyAlignment="1">
      <alignment horizontal="center" vertical="center"/>
    </xf>
    <xf numFmtId="0" fontId="53" fillId="4" borderId="0" xfId="5" applyFont="1" applyFill="1" applyAlignment="1">
      <alignment horizontal="center" vertical="center"/>
    </xf>
    <xf numFmtId="0" fontId="53" fillId="5" borderId="0" xfId="5" applyFont="1" applyFill="1"/>
    <xf numFmtId="0" fontId="53" fillId="6" borderId="0" xfId="5" applyFont="1" applyFill="1" applyAlignment="1">
      <alignment horizontal="center" vertical="center"/>
    </xf>
    <xf numFmtId="0" fontId="53" fillId="7" borderId="0" xfId="5" applyFont="1" applyFill="1" applyAlignment="1">
      <alignment horizontal="center" vertical="center"/>
    </xf>
    <xf numFmtId="0" fontId="53" fillId="7" borderId="0" xfId="5" applyFont="1" applyFill="1"/>
    <xf numFmtId="0" fontId="53" fillId="5" borderId="0" xfId="5" applyFont="1" applyFill="1" applyAlignment="1">
      <alignment horizontal="center" vertical="center"/>
    </xf>
    <xf numFmtId="0" fontId="54" fillId="8" borderId="7" xfId="5" applyFont="1" applyFill="1" applyBorder="1" applyAlignment="1">
      <alignment horizontal="left" vertical="center" wrapText="1" shrinkToFit="1"/>
    </xf>
    <xf numFmtId="0" fontId="53" fillId="3" borderId="0" xfId="5" applyFont="1" applyFill="1"/>
    <xf numFmtId="0" fontId="55" fillId="5" borderId="0" xfId="5" applyFont="1" applyFill="1"/>
    <xf numFmtId="0" fontId="56" fillId="9" borderId="0" xfId="5" applyFont="1" applyFill="1" applyAlignment="1">
      <alignment horizontal="center" vertical="center" wrapText="1" shrinkToFit="1"/>
    </xf>
    <xf numFmtId="0" fontId="50" fillId="0" borderId="0" xfId="5" applyAlignment="1">
      <alignment horizontal="center" vertical="center" wrapText="1" shrinkToFit="1"/>
    </xf>
    <xf numFmtId="0" fontId="50" fillId="0" borderId="0" xfId="5" applyAlignment="1">
      <alignment horizontal="left" vertical="center" wrapText="1" shrinkToFit="1"/>
    </xf>
    <xf numFmtId="0" fontId="53" fillId="0" borderId="0" xfId="5" applyFont="1" applyAlignment="1">
      <alignment horizontal="left" vertical="center" wrapText="1" shrinkToFit="1"/>
    </xf>
    <xf numFmtId="0" fontId="52" fillId="0" borderId="0" xfId="5" applyFont="1" applyAlignment="1">
      <alignment horizontal="center" vertical="center" wrapText="1" shrinkToFit="1"/>
    </xf>
    <xf numFmtId="0" fontId="50" fillId="0" borderId="0" xfId="5" applyAlignment="1">
      <alignment horizontal="center"/>
    </xf>
    <xf numFmtId="0" fontId="57" fillId="10" borderId="6" xfId="2" applyFont="1" applyFill="1" applyBorder="1" applyAlignment="1" applyProtection="1">
      <alignment horizontal="center"/>
      <protection locked="0"/>
    </xf>
    <xf numFmtId="0" fontId="50" fillId="0" borderId="0" xfId="5" applyAlignment="1">
      <alignment horizontal="center" vertical="center" wrapText="1"/>
    </xf>
    <xf numFmtId="0" fontId="56" fillId="0" borderId="0" xfId="5" applyFont="1" applyAlignment="1">
      <alignment horizontal="center" vertical="center" wrapText="1" shrinkToFit="1"/>
    </xf>
    <xf numFmtId="0" fontId="1" fillId="0" borderId="0" xfId="54"/>
    <xf numFmtId="0" fontId="53" fillId="0" borderId="0" xfId="5" applyFont="1" applyAlignment="1">
      <alignment horizontal="center" vertical="center" textRotation="90"/>
    </xf>
    <xf numFmtId="0" fontId="53" fillId="0" borderId="0" xfId="5" applyFont="1" applyAlignment="1">
      <alignment horizontal="center"/>
    </xf>
  </cellXfs>
  <cellStyles count="55">
    <cellStyle name="Lien hypertexte" xfId="9" builtinId="8"/>
    <cellStyle name="Lien hypertexte 2" xfId="3" xr:uid="{00000000-0005-0000-0000-000001000000}"/>
    <cellStyle name="Normal" xfId="0" builtinId="0"/>
    <cellStyle name="Normal 10" xfId="13" xr:uid="{00000000-0005-0000-0000-000003000000}"/>
    <cellStyle name="Normal 11" xfId="14" xr:uid="{00000000-0005-0000-0000-000004000000}"/>
    <cellStyle name="Normal 12" xfId="15" xr:uid="{00000000-0005-0000-0000-000005000000}"/>
    <cellStyle name="Normal 12 2" xfId="23" xr:uid="{8A3C1B6D-B4B3-48BF-AB16-034A20FBA0E1}"/>
    <cellStyle name="Normal 12 2 2" xfId="24" xr:uid="{FD90072D-9272-4DB9-9716-14079DEC4864}"/>
    <cellStyle name="Normal 12 2 2 2" xfId="25" xr:uid="{4469F1D6-DAE8-4970-AC84-7B323016EF56}"/>
    <cellStyle name="Normal 12 2 2 2 2" xfId="27" xr:uid="{76DF9F2D-873C-47C8-81EB-D552D96F0A8A}"/>
    <cellStyle name="Normal 12 2 2 2 3" xfId="30" xr:uid="{4CD422E1-2E78-493A-B76F-6E905A75CF94}"/>
    <cellStyle name="Normal 12 2 2 2 4" xfId="32" xr:uid="{D2ACC1AC-A8FE-49C2-AF0F-3586716C32D2}"/>
    <cellStyle name="Normal 12 2 2 2 5" xfId="34" xr:uid="{6834E6D9-00BF-4DB3-946C-4D2946C3DE32}"/>
    <cellStyle name="Normal 12 2 2 2 6" xfId="36" xr:uid="{D91F453D-9E39-4274-AF27-9F5F130140FB}"/>
    <cellStyle name="Normal 12 2 2 2 7" xfId="38" xr:uid="{F6DF243F-706F-409A-82BD-6892F6C05C1D}"/>
    <cellStyle name="Normal 13" xfId="16" xr:uid="{00000000-0005-0000-0000-000006000000}"/>
    <cellStyle name="Normal 13 2" xfId="22" xr:uid="{3B0276C3-63EB-4FFE-AE98-A87F8A52FFE3}"/>
    <cellStyle name="Normal 13 3" xfId="26" xr:uid="{38433431-CB95-45DA-8D54-7C5C705C6BF2}"/>
    <cellStyle name="Normal 13 3 2" xfId="28" xr:uid="{C0F0F981-846B-48A7-AE1A-D9F98A157F99}"/>
    <cellStyle name="Normal 13 3 2 2" xfId="31" xr:uid="{B45C2D65-8BC5-406E-861F-389BC6C4E446}"/>
    <cellStyle name="Normal 13 3 2 2 2" xfId="33" xr:uid="{95620994-1C05-4F62-BA4A-4888B0168F58}"/>
    <cellStyle name="Normal 13 3 2 2 2 2" xfId="35" xr:uid="{806F3E76-275A-4D2C-994E-E4DBA2FD5A7A}"/>
    <cellStyle name="Normal 13 3 2 2 2 2 10" xfId="46" xr:uid="{ECC491C7-9A29-4F8B-8BC4-AAA0D5B17D77}"/>
    <cellStyle name="Normal 13 3 2 2 2 2 11" xfId="47" xr:uid="{8959B052-8200-424D-A34F-3717515A7BFF}"/>
    <cellStyle name="Normal 13 3 2 2 2 2 11 2" xfId="48" xr:uid="{D4A2C784-E57A-40D2-80EA-715A44FF53C9}"/>
    <cellStyle name="Normal 13 3 2 2 2 2 11 3" xfId="49" xr:uid="{5E8913D0-5491-4327-988E-9B6ADC080458}"/>
    <cellStyle name="Normal 13 3 2 2 2 2 11 4" xfId="51" xr:uid="{A1E9FB16-BDF4-486B-A6B6-51CD959BE63A}"/>
    <cellStyle name="Normal 13 3 2 2 2 2 11 4 2" xfId="53" xr:uid="{2DCF1F2C-85B4-4151-B586-B4CA111EE77C}"/>
    <cellStyle name="Normal 13 3 2 2 2 2 2" xfId="37" xr:uid="{9CAA0D97-1768-41D8-B85A-F190C074DD06}"/>
    <cellStyle name="Normal 13 3 2 2 2 2 3" xfId="39" xr:uid="{248E725A-5008-4835-B66B-E2B56DB776E9}"/>
    <cellStyle name="Normal 13 3 2 2 2 2 4" xfId="40" xr:uid="{2D53DF5E-A521-4FFF-A8AB-6071CE0D1534}"/>
    <cellStyle name="Normal 13 3 2 2 2 2 5" xfId="41" xr:uid="{8E4E24F6-13BD-40F7-91AF-5BF8B6335628}"/>
    <cellStyle name="Normal 13 3 2 2 2 2 6" xfId="42" xr:uid="{FBE4463E-D2E0-4E2C-B7AD-D225398CC8CE}"/>
    <cellStyle name="Normal 13 3 2 2 2 2 7" xfId="43" xr:uid="{016891D9-3DA8-46B9-A930-37DFE7F5F116}"/>
    <cellStyle name="Normal 13 3 2 2 2 2 8" xfId="44" xr:uid="{585A52C5-A370-4680-B071-357C81C0FC9E}"/>
    <cellStyle name="Normal 13 3 2 2 2 2 9" xfId="45" xr:uid="{FC58DD18-55B3-4B75-840A-59EB89CF99A4}"/>
    <cellStyle name="Normal 14" xfId="17" xr:uid="{00000000-0005-0000-0000-000007000000}"/>
    <cellStyle name="Normal 14 2" xfId="18" xr:uid="{00000000-0005-0000-0000-000008000000}"/>
    <cellStyle name="Normal 14 3" xfId="19" xr:uid="{00000000-0005-0000-0000-000009000000}"/>
    <cellStyle name="Normal 14 4" xfId="20" xr:uid="{00000000-0005-0000-0000-00000A000000}"/>
    <cellStyle name="Normal 14 5" xfId="21" xr:uid="{D0E9E293-83EA-4ECB-B75B-F9056E977637}"/>
    <cellStyle name="Normal 14 5 2" xfId="29" xr:uid="{F2F61166-1F06-486E-A42E-4522B391DFC1}"/>
    <cellStyle name="Normal 14 5 2 2" xfId="50" xr:uid="{5E689413-7FCE-4B69-9A8D-207D3F669B4F}"/>
    <cellStyle name="Normal 14 5 2 3" xfId="52" xr:uid="{F3A429C0-E2FF-4906-91EE-B3DA170C6861}"/>
    <cellStyle name="Normal 14 5 2 4" xfId="54" xr:uid="{5BE168D1-1CC8-40AB-AD6E-1349BC551804}"/>
    <cellStyle name="Normal 2" xfId="1" xr:uid="{00000000-0005-0000-0000-00000B000000}"/>
    <cellStyle name="Normal 2 2" xfId="4" xr:uid="{00000000-0005-0000-0000-00000C000000}"/>
    <cellStyle name="Normal 2 3" xfId="5" xr:uid="{00000000-0005-0000-0000-00000D000000}"/>
    <cellStyle name="Normal 3" xfId="2" xr:uid="{00000000-0005-0000-0000-00000E000000}"/>
    <cellStyle name="Normal 4" xfId="6" xr:uid="{00000000-0005-0000-0000-00000F000000}"/>
    <cellStyle name="Normal 5" xfId="7" xr:uid="{00000000-0005-0000-0000-000010000000}"/>
    <cellStyle name="Normal 6" xfId="8" xr:uid="{00000000-0005-0000-0000-000011000000}"/>
    <cellStyle name="Normal 7" xfId="10" xr:uid="{00000000-0005-0000-0000-000012000000}"/>
    <cellStyle name="Normal 8" xfId="11" xr:uid="{00000000-0005-0000-0000-000013000000}"/>
    <cellStyle name="Normal 9" xfId="12" xr:uid="{00000000-0005-0000-0000-000014000000}"/>
  </cellStyles>
  <dxfs count="32"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  <strike val="0"/>
        <outline val="0"/>
        <shadow val="0"/>
        <u val="none"/>
        <vertAlign val="baseline"/>
        <sz val="10"/>
        <color rgb="FF000000"/>
        <name val="Calibri"/>
        <scheme val="none"/>
      </font>
      <numFmt numFmtId="0" formatCode="General"/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left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font>
        <b/>
      </font>
      <alignment horizontal="center" vertical="center" textRotation="0" wrapText="1" indent="0" justifyLastLine="0" shrinkToFit="1" readingOrder="0"/>
    </dxf>
    <dxf>
      <alignment horizontal="center"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vertical="center" textRotation="0" wrapText="1" indent="0" justifyLastLine="0" shrinkToFit="1" readingOrder="0"/>
    </dxf>
    <dxf>
      <alignment horizontal="center" vertical="center" textRotation="0" wrapText="0" indent="0" justifyLastLine="0" shrinkToFit="0" readingOrder="0"/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000"/>
      <rgbColor rgb="00FF9900"/>
      <rgbColor rgb="00FF6600"/>
      <rgbColor rgb="00666699"/>
      <rgbColor rgb="00969696"/>
      <rgbColor rgb="00003366"/>
      <rgbColor rgb="0000B050"/>
      <rgbColor rgb="00003300"/>
      <rgbColor rgb="00333300"/>
      <rgbColor rgb="00993300"/>
      <rgbColor rgb="00993366"/>
      <rgbColor rgb="00333399"/>
      <rgbColor rgb="00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1</xdr:row>
      <xdr:rowOff>15240</xdr:rowOff>
    </xdr:from>
    <xdr:to>
      <xdr:col>3</xdr:col>
      <xdr:colOff>546735</xdr:colOff>
      <xdr:row>19</xdr:row>
      <xdr:rowOff>7620</xdr:rowOff>
    </xdr:to>
    <xdr:pic>
      <xdr:nvPicPr>
        <xdr:cNvPr id="2" name="Image 1" descr="RÃ©sultat de recherche d'images pour &quot;ironman&quot;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352" t="8127"/>
        <a:stretch/>
      </xdr:blipFill>
      <xdr:spPr bwMode="auto">
        <a:xfrm>
          <a:off x="68580" y="198120"/>
          <a:ext cx="3093720" cy="3101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3</xdr:col>
      <xdr:colOff>182048</xdr:colOff>
      <xdr:row>0</xdr:row>
      <xdr:rowOff>7435</xdr:rowOff>
    </xdr:from>
    <xdr:ext cx="6798721" cy="1050672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559488" y="7435"/>
          <a:ext cx="6798721" cy="1050672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fr-FR" sz="6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roadway" panose="04040905080B02020502" pitchFamily="82" charset="0"/>
            </a:rPr>
            <a:t>Power Auditor</a:t>
          </a:r>
          <a:endParaRPr lang="fr-FR" sz="54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Broadway" panose="04040905080B02020502" pitchFamily="82" charset="0"/>
          </a:endParaRP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v/PowerAuditor/SERMA-NES-myCli-PT-tryr-TEMPLATE-1811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werAuditor"/>
      <sheetName val="NES_TI_v1-EN"/>
    </sheetNames>
    <sheetDataSet>
      <sheetData sheetId="0">
        <row r="39">
          <cell r="C39" t="str">
            <v>NES_TI_v1</v>
          </cell>
        </row>
        <row r="40">
          <cell r="C40" t="str">
            <v>Example_v1</v>
          </cell>
        </row>
      </sheetData>
      <sheetData sheetId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bleau3" displayName="Tableau3" ref="E7:F16" totalsRowShown="0" headerRowDxfId="31" dataDxfId="30">
  <autoFilter ref="E7:F16" xr:uid="{00000000-0009-0000-0100-000003000000}"/>
  <tableColumns count="2">
    <tableColumn id="1" xr3:uid="{00000000-0010-0000-0000-000001000000}" name="Value" dataDxfId="29"/>
    <tableColumn id="2" xr3:uid="{00000000-0010-0000-0000-000002000000}" name="Key" dataDxfId="2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PORT_TYPE_TBL" displayName="REPORT_TYPE_TBL" ref="C37:C49" totalsRowShown="0">
  <autoFilter ref="C37:C49" xr:uid="{00000000-0009-0000-0100-000001000000}"/>
  <tableColumns count="1">
    <tableColumn id="1" xr3:uid="{00000000-0010-0000-0100-000001000000}" name="REPORT TYPE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ECE03C-74BE-48D5-8361-497507D027C7}" name="Tableau22" displayName="Tableau22" ref="A1:N3" totalsRowShown="0" headerRowDxfId="15" dataDxfId="14">
  <autoFilter ref="A1:N3" xr:uid="{00000000-0009-0000-0100-000001000000}"/>
  <tableColumns count="14">
    <tableColumn id="1" xr3:uid="{655FFD72-BFF6-47FB-A33E-2AA0C83A1F9F}" name="Id #" dataDxfId="13"/>
    <tableColumn id="2" xr3:uid="{65341678-8781-4EDC-81E5-E66635B4155F}" name="Target" dataDxfId="12"/>
    <tableColumn id="3" xr3:uid="{6C27DC94-89A5-4CA0-A6B8-25B94544769C}" name="Vulnerability name" dataDxfId="11"/>
    <tableColumn id="4" xr3:uid="{3281E80C-2CEB-40FD-AD7A-C69455443007}" name="Account _x000a_required" dataDxfId="10"/>
    <tableColumn id="14" xr3:uid="{42CF00B7-A23F-4BE7-9543-53C4A8F9AE5B}" name="Category" dataDxfId="9"/>
    <tableColumn id="5" xr3:uid="{335A1A7F-61DC-4AC8-B4C2-81A53F9C3E06}" name="Description" dataDxfId="8"/>
    <tableColumn id="6" xr3:uid="{8C942CAD-B03E-4A03-9963-9B98831900CB}" name="Difficulty of _x000a_exploitation ( E )" dataDxfId="7"/>
    <tableColumn id="7" xr3:uid="{EF0C0BBF-5EC7-41B1-9CD7-A16242742108}" name="Impact ( I )" dataDxfId="6"/>
    <tableColumn id="8" xr3:uid="{9F4CD6E8-3F97-48AD-8F64-1875D497A6E5}" name="Risk (E x I) _x000a_= ( R )" dataDxfId="5">
      <calculatedColumnFormula>IF(OR(AND(H2="CRITICAL",OR(G2="TRIVIAL",G2="EASY")), AND(H2="HIGH",G2="TRIVIAL") ), "CRITICAL", IF(OR(AND(H2="LOW",OR(G2="SOPHISTICATED",G2="MEDIUM")),AND(H2="MEDIUM",G2="SOPHISTICATED")), "LOW", IF(OR(AND(H2="HIGH",OR(G2="EASY",G2="MEDIUM")),AND(H2="MEDIUM",G2="TRIVIAL"), AND(H2="CRITICAL",G2="MEDIUM")), "HIGH", "MEDIUM")))</calculatedColumnFormula>
    </tableColumn>
    <tableColumn id="9" xr3:uid="{66F10262-0BB7-456A-BBAD-828E346C4D51}" name="Remediation" dataDxfId="4"/>
    <tableColumn id="10" xr3:uid="{2DBBF3B4-2435-4568-BA0F-7F3A52A6EE8B}" name="Risk" dataDxfId="3"/>
    <tableColumn id="11" xr3:uid="{8A0F5C1C-4F8C-4067-B8A2-825C14CE5F9E}" name="Type of _x000a_remediation" dataDxfId="2"/>
    <tableColumn id="12" xr3:uid="{7C441D23-63AA-4342-9E6F-6D477D1640C7}" name="Level of effort ( D )" dataDxfId="1"/>
    <tableColumn id="13" xr3:uid="{589879C1-58B5-4278-A4C5-C7BCE5939FE3}" name="Priority ( P )" dataDxfId="0">
      <calculatedColumnFormula>IF(OR(AND(I2="CRITICAL",OR(M2="LOW",M2="MEDIUM")), AND(I2="HIGH",M2="LOW") ), "IMMEDIATELY", IF(OR(AND(I2="LOW",OR(M2="MEDIUM",M2="HIGH",M2="CRITICAL",)),AND(I2="MEDIUM",M2="CRITICAL")), "BEST EFFORT", IF(OR(AND(I2="HIGH",OR(M2="MEDIUM",M2="HIGH")),AND(I2="MEDIUM",M2="LOW"), AND(I2="CRITICAL",M2="HIGH")), "URGENT", "IMPORTANT")))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3B636F9-468D-4FD2-90F3-664E9E0CAC4D}" name="Tableau2" displayName="Tableau2" ref="AD25:AE35" totalsRowShown="0">
  <autoFilter ref="AD25:AE35" xr:uid="{BBD77D54-1E6A-4A1D-A21A-B4AEDF894660}"/>
  <tableColumns count="2">
    <tableColumn id="1" xr3:uid="{F93313C0-80B8-48A7-9504-147E13112242}" name="TOP TEN OWASP EN"/>
    <tableColumn id="2" xr3:uid="{DBB69285-C7C7-4FFA-B802-ED0E8C8DCAA2}" name="LEVEL" dataCellStyle="Normal 2 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poney.club/" TargetMode="Externa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owerAuditor"/>
  <dimension ref="A1:AO40"/>
  <sheetViews>
    <sheetView tabSelected="1" workbookViewId="0">
      <selection activeCell="J19" sqref="J19"/>
    </sheetView>
  </sheetViews>
  <sheetFormatPr baseColWidth="10" defaultRowHeight="14.4" x14ac:dyDescent="0.3"/>
  <cols>
    <col min="3" max="3" width="14.6640625" customWidth="1"/>
    <col min="6" max="6" width="34.44140625" customWidth="1"/>
  </cols>
  <sheetData>
    <row r="1" spans="1:16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5" spans="1:16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</row>
    <row r="6" spans="1:16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</row>
    <row r="7" spans="1:16" hidden="1" x14ac:dyDescent="0.3">
      <c r="A7" s="1"/>
      <c r="B7" s="1"/>
      <c r="C7" s="1"/>
      <c r="D7" s="1"/>
      <c r="E7" s="1" t="s">
        <v>7</v>
      </c>
      <c r="F7" s="1" t="s">
        <v>8</v>
      </c>
      <c r="G7" s="1"/>
      <c r="H7" s="1"/>
      <c r="I7" s="1"/>
      <c r="J7" s="1"/>
      <c r="K7" s="1"/>
      <c r="L7" s="1"/>
      <c r="M7" s="1"/>
      <c r="N7" s="1"/>
      <c r="O7" s="1"/>
      <c r="P7" s="1"/>
    </row>
    <row r="8" spans="1:16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x14ac:dyDescent="0.3">
      <c r="A9" s="1"/>
      <c r="B9" s="1"/>
      <c r="C9" s="1"/>
      <c r="D9" s="1"/>
      <c r="E9" s="6" t="s">
        <v>1</v>
      </c>
      <c r="F9" s="2" t="s">
        <v>15</v>
      </c>
      <c r="G9" s="1"/>
      <c r="H9" s="1"/>
      <c r="I9" s="1"/>
      <c r="J9" s="1"/>
      <c r="K9" s="1"/>
      <c r="L9" s="1"/>
      <c r="M9" s="1"/>
      <c r="N9" s="1"/>
      <c r="O9" s="1"/>
      <c r="P9" s="1"/>
    </row>
    <row r="10" spans="1:16" x14ac:dyDescent="0.3">
      <c r="A10" s="1"/>
      <c r="B10" s="1"/>
      <c r="C10" s="1"/>
      <c r="D10" s="1"/>
      <c r="E10" s="7" t="s">
        <v>0</v>
      </c>
      <c r="F10" s="4" t="s">
        <v>17</v>
      </c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6" x14ac:dyDescent="0.3">
      <c r="A11" s="1"/>
      <c r="B11" s="1"/>
      <c r="C11" s="1"/>
      <c r="D11" s="1"/>
      <c r="E11" s="7" t="s">
        <v>2</v>
      </c>
      <c r="F11" s="4" t="s">
        <v>12</v>
      </c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6" x14ac:dyDescent="0.3">
      <c r="A12" s="1"/>
      <c r="B12" s="1"/>
      <c r="C12" s="1"/>
      <c r="D12" s="1"/>
      <c r="E12" s="7" t="s">
        <v>3</v>
      </c>
      <c r="F12" s="4" t="s">
        <v>10</v>
      </c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6" x14ac:dyDescent="0.3">
      <c r="A13" s="1"/>
      <c r="B13" s="1"/>
      <c r="C13" s="1"/>
      <c r="D13" s="1"/>
      <c r="E13" s="7" t="s">
        <v>4</v>
      </c>
      <c r="F13" s="4" t="s">
        <v>11</v>
      </c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6" x14ac:dyDescent="0.3">
      <c r="A14" s="1"/>
      <c r="B14" s="1"/>
      <c r="C14" s="1"/>
      <c r="D14" s="1"/>
      <c r="E14" s="7" t="s">
        <v>14</v>
      </c>
      <c r="F14" s="5" t="s">
        <v>13</v>
      </c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6" x14ac:dyDescent="0.3">
      <c r="A15" s="1"/>
      <c r="B15" s="1"/>
      <c r="C15" s="1"/>
      <c r="D15" s="1"/>
      <c r="E15" s="7" t="s">
        <v>6</v>
      </c>
      <c r="F15" s="3" t="s">
        <v>46</v>
      </c>
      <c r="G15" s="1"/>
      <c r="H15" s="1"/>
      <c r="I15" s="1"/>
      <c r="J15" s="1"/>
      <c r="K15" s="1"/>
      <c r="L15" s="1"/>
      <c r="M15" s="1"/>
      <c r="N15" s="1"/>
      <c r="O15" s="1"/>
      <c r="P15" s="1"/>
    </row>
    <row r="16" spans="1:16" x14ac:dyDescent="0.3">
      <c r="A16" s="1"/>
      <c r="B16" s="1"/>
      <c r="C16" s="1"/>
      <c r="D16" s="1"/>
      <c r="E16" s="8" t="s">
        <v>5</v>
      </c>
      <c r="F16" s="28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1:16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1:16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1:16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1:16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1:16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1:16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1:16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1:16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1:16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1:16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</row>
    <row r="27" spans="1:16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</row>
    <row r="28" spans="1:16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</row>
    <row r="29" spans="1:16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1:16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</row>
    <row r="31" spans="1:16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1:16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4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1:4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1:4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7" spans="1:41" x14ac:dyDescent="0.3">
      <c r="C37" t="s">
        <v>9</v>
      </c>
    </row>
    <row r="38" spans="1:41" x14ac:dyDescent="0.3">
      <c r="AM38" t="s">
        <v>16</v>
      </c>
    </row>
    <row r="39" spans="1:41" x14ac:dyDescent="0.3">
      <c r="AN39" t="s">
        <v>18</v>
      </c>
    </row>
    <row r="40" spans="1:41" x14ac:dyDescent="0.3">
      <c r="AO40" t="s">
        <v>18</v>
      </c>
    </row>
  </sheetData>
  <dataValidations count="2">
    <dataValidation type="list" errorStyle="warning" allowBlank="1" showInputMessage="1" showErrorMessage="1" errorTitle="Invalid template report" error="Invalid template report" promptTitle="Template" prompt="Select a report template" sqref="F15" xr:uid="{00000000-0002-0000-0000-000001000000}">
      <formula1>REPORT_TYPE_LIST</formula1>
    </dataValidation>
    <dataValidation type="list" allowBlank="1" showInputMessage="1" showErrorMessage="1" sqref="F16" xr:uid="{00000000-0002-0000-0000-000002000000}">
      <formula1>LEVEL_LIST</formula1>
    </dataValidation>
  </dataValidations>
  <hyperlinks>
    <hyperlink ref="F14" r:id="rId1" xr:uid="{00000000-0004-0000-0000-000000000000}"/>
  </hyperlinks>
  <pageMargins left="0.7" right="0.7" top="0.75" bottom="0.75" header="0.3" footer="0.3"/>
  <pageSetup paperSize="9" orientation="portrait" horizontalDpi="4294967293" r:id="rId2"/>
  <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D99F9-01A1-4755-8637-D4570AB4D16A}">
  <sheetPr codeName="RT_NES_TI_v1"/>
  <dimension ref="A1:AE41"/>
  <sheetViews>
    <sheetView zoomScale="90" zoomScaleNormal="90" workbookViewId="0">
      <pane ySplit="1" topLeftCell="A2" activePane="bottomLeft" state="frozen"/>
      <selection activeCell="D30" sqref="D30"/>
      <selection pane="bottomLeft" activeCell="C19" sqref="C19"/>
    </sheetView>
  </sheetViews>
  <sheetFormatPr baseColWidth="10" defaultColWidth="11.5546875" defaultRowHeight="14.4" x14ac:dyDescent="0.3"/>
  <cols>
    <col min="1" max="1" width="4.5546875" style="9" customWidth="1"/>
    <col min="2" max="3" width="30.88671875" style="9" customWidth="1"/>
    <col min="4" max="4" width="9.109375" style="9" customWidth="1"/>
    <col min="5" max="5" width="30.88671875" style="9" customWidth="1"/>
    <col min="6" max="6" width="29.6640625" style="9" customWidth="1"/>
    <col min="7" max="7" width="20.88671875" style="9" customWidth="1"/>
    <col min="8" max="8" width="16" style="9" customWidth="1"/>
    <col min="9" max="9" width="20.44140625" style="9" customWidth="1"/>
    <col min="10" max="10" width="30.88671875" style="9" customWidth="1"/>
    <col min="11" max="11" width="14.44140625" style="9" customWidth="1"/>
    <col min="12" max="13" width="20.88671875" style="9" customWidth="1"/>
    <col min="14" max="14" width="16.33203125" style="9" bestFit="1" customWidth="1"/>
    <col min="15" max="16" width="11.5546875" style="9"/>
    <col min="17" max="22" width="11.5546875" style="9" hidden="1" customWidth="1"/>
    <col min="23" max="23" width="15.77734375" style="9" hidden="1" customWidth="1"/>
    <col min="24" max="29" width="11.5546875" style="9" hidden="1" customWidth="1"/>
    <col min="30" max="30" width="48.109375" style="9" hidden="1" customWidth="1"/>
    <col min="31" max="31" width="11.6640625" style="9" hidden="1" customWidth="1"/>
    <col min="32" max="16384" width="11.5546875" style="9"/>
  </cols>
  <sheetData>
    <row r="1" spans="1:15" ht="28.8" x14ac:dyDescent="0.3">
      <c r="A1" s="10" t="s">
        <v>45</v>
      </c>
      <c r="B1" s="10" t="s">
        <v>0</v>
      </c>
      <c r="C1" s="10" t="s">
        <v>47</v>
      </c>
      <c r="D1" s="29" t="s">
        <v>48</v>
      </c>
      <c r="E1" s="29" t="s">
        <v>49</v>
      </c>
      <c r="F1" s="10" t="s">
        <v>44</v>
      </c>
      <c r="G1" s="29" t="s">
        <v>50</v>
      </c>
      <c r="H1" s="10" t="s">
        <v>43</v>
      </c>
      <c r="I1" s="29" t="s">
        <v>51</v>
      </c>
      <c r="J1" s="10" t="s">
        <v>52</v>
      </c>
      <c r="K1" s="10" t="s">
        <v>26</v>
      </c>
      <c r="L1" s="29" t="s">
        <v>53</v>
      </c>
      <c r="M1" s="10" t="s">
        <v>54</v>
      </c>
      <c r="N1" s="10" t="s">
        <v>55</v>
      </c>
    </row>
    <row r="2" spans="1:15" s="27" customFormat="1" hidden="1" x14ac:dyDescent="0.3">
      <c r="A2" s="23" t="s">
        <v>42</v>
      </c>
      <c r="B2" s="23" t="s">
        <v>41</v>
      </c>
      <c r="C2" s="23" t="s">
        <v>40</v>
      </c>
      <c r="D2" s="23" t="s">
        <v>39</v>
      </c>
      <c r="E2" s="23" t="s">
        <v>38</v>
      </c>
      <c r="F2" s="23" t="s">
        <v>37</v>
      </c>
      <c r="G2" s="23" t="s">
        <v>36</v>
      </c>
      <c r="H2" s="23" t="s">
        <v>35</v>
      </c>
      <c r="I2" s="23" t="s">
        <v>34</v>
      </c>
      <c r="J2" s="23" t="s">
        <v>33</v>
      </c>
      <c r="K2" s="23" t="s">
        <v>32</v>
      </c>
      <c r="L2" s="23" t="s">
        <v>31</v>
      </c>
      <c r="M2" s="23" t="s">
        <v>30</v>
      </c>
      <c r="N2" s="23" t="s">
        <v>29</v>
      </c>
      <c r="O2" s="23"/>
    </row>
    <row r="3" spans="1:15" x14ac:dyDescent="0.3">
      <c r="A3" s="23"/>
      <c r="B3" s="23"/>
      <c r="C3" s="26"/>
      <c r="D3" s="23"/>
      <c r="E3" s="25"/>
      <c r="F3" s="24"/>
      <c r="G3" s="22" t="s">
        <v>28</v>
      </c>
      <c r="H3" s="22" t="s">
        <v>56</v>
      </c>
      <c r="I3" s="30" t="str">
        <f ca="1">INDIRECT(CONCATENATE(ADDRESS(CELL("ligne",NES_v1_matrix_Risk)+INDIRECT(CONCATENATE(ADDRESS(CELL("ligne",NES_v1_matrix_EI) - LEFT(Tableau22[[#This Row],[Impact ( I )]],1),CELL("colonne", NES_v1_matrix_EI) + LEFT(Tableau22[[#This Row],[Difficulty of 
exploitation ( E )]],1)))),CELL("colonne",NES_v1_matrix_Risk))))</f>
        <v>4 - CRITICAL</v>
      </c>
      <c r="J3" s="23"/>
      <c r="K3" s="23"/>
      <c r="L3" s="23"/>
      <c r="M3" s="22" t="s">
        <v>56</v>
      </c>
      <c r="N3" s="30" t="str">
        <f ca="1">INDIRECT(CONCATENATE(ADDRESS(CELL("ligne",NES_v1_matrix_Priority)+INDIRECT(CONCATENATE(ADDRESS(CELL("ligne",NES_v1_matrix_DR) - LEFT(Tableau22[[#This Row],[Risk (E x I) 
= ( R )]],1),CELL("colonne", NES_v1_matrix_DR) + LEFT(Tableau22[[#This Row],[Level of effort ( D )]],1)))),CELL("colonne",NES_v1_matrix_Priority))))</f>
        <v>2 - IMPORTANT</v>
      </c>
    </row>
    <row r="23" spans="16:31" x14ac:dyDescent="0.3"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6:31" x14ac:dyDescent="0.3"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6:31" x14ac:dyDescent="0.3">
      <c r="P25" s="11"/>
      <c r="Q25" s="11"/>
      <c r="R25" s="11"/>
      <c r="S25" s="11"/>
      <c r="T25" s="11"/>
      <c r="U25" s="11"/>
      <c r="V25" s="11"/>
      <c r="W25" s="11" t="s">
        <v>57</v>
      </c>
      <c r="X25" s="11"/>
      <c r="Y25" s="11"/>
      <c r="Z25" s="11"/>
      <c r="AA25" s="11"/>
      <c r="AB25" s="11"/>
      <c r="AC25" s="11"/>
      <c r="AD25" s="31" t="s">
        <v>58</v>
      </c>
      <c r="AE25" s="9" t="s">
        <v>27</v>
      </c>
    </row>
    <row r="26" spans="16:31" x14ac:dyDescent="0.3">
      <c r="P26" s="11"/>
      <c r="Q26" s="32" t="s">
        <v>26</v>
      </c>
      <c r="R26" s="18">
        <v>4</v>
      </c>
      <c r="S26" s="18">
        <v>4</v>
      </c>
      <c r="T26" s="16">
        <v>3</v>
      </c>
      <c r="U26" s="13">
        <v>2</v>
      </c>
      <c r="V26" s="11"/>
      <c r="W26" s="20" t="s">
        <v>59</v>
      </c>
      <c r="X26" s="11"/>
      <c r="Y26" s="11"/>
      <c r="Z26" s="11"/>
      <c r="AA26" s="11"/>
      <c r="AB26" s="11"/>
      <c r="AC26" s="11"/>
      <c r="AD26" s="31" t="s">
        <v>25</v>
      </c>
      <c r="AE26" s="21" t="s">
        <v>56</v>
      </c>
    </row>
    <row r="27" spans="16:31" x14ac:dyDescent="0.3">
      <c r="P27" s="11"/>
      <c r="Q27" s="32"/>
      <c r="R27" s="18">
        <v>4</v>
      </c>
      <c r="S27" s="16">
        <v>3</v>
      </c>
      <c r="T27" s="16">
        <v>3</v>
      </c>
      <c r="U27" s="13">
        <v>2</v>
      </c>
      <c r="V27" s="11"/>
      <c r="W27" s="19" t="s">
        <v>60</v>
      </c>
      <c r="X27" s="11"/>
      <c r="Y27" s="11"/>
      <c r="Z27" s="11"/>
      <c r="AA27" s="11"/>
      <c r="AB27" s="11"/>
      <c r="AC27" s="11"/>
      <c r="AD27" s="31" t="s">
        <v>61</v>
      </c>
      <c r="AE27" s="17" t="s">
        <v>62</v>
      </c>
    </row>
    <row r="28" spans="16:31" x14ac:dyDescent="0.3">
      <c r="P28" s="11"/>
      <c r="Q28" s="32"/>
      <c r="R28" s="16">
        <v>3</v>
      </c>
      <c r="S28" s="13">
        <v>2</v>
      </c>
      <c r="T28" s="13">
        <v>2</v>
      </c>
      <c r="U28" s="12">
        <v>1</v>
      </c>
      <c r="V28" s="11"/>
      <c r="W28" s="17" t="s">
        <v>63</v>
      </c>
      <c r="X28" s="11"/>
      <c r="Y28" s="11"/>
      <c r="Z28" s="11"/>
      <c r="AA28" s="11"/>
      <c r="AB28" s="11"/>
      <c r="AC28" s="11"/>
      <c r="AD28" s="31" t="s">
        <v>24</v>
      </c>
      <c r="AE28" s="19" t="s">
        <v>64</v>
      </c>
    </row>
    <row r="29" spans="16:31" x14ac:dyDescent="0.3">
      <c r="P29" s="11"/>
      <c r="Q29" s="32"/>
      <c r="R29" s="13">
        <v>2</v>
      </c>
      <c r="S29" s="12">
        <v>1</v>
      </c>
      <c r="T29" s="12">
        <v>1</v>
      </c>
      <c r="U29" s="12">
        <v>1</v>
      </c>
      <c r="V29" s="11"/>
      <c r="W29" s="14" t="s">
        <v>65</v>
      </c>
      <c r="X29" s="11"/>
      <c r="Y29" s="11"/>
      <c r="Z29" s="11"/>
      <c r="AA29" s="11"/>
      <c r="AB29" s="11"/>
      <c r="AC29" s="11"/>
      <c r="AD29" s="31" t="s">
        <v>66</v>
      </c>
      <c r="AE29" s="20" t="s">
        <v>67</v>
      </c>
    </row>
    <row r="30" spans="16:31" x14ac:dyDescent="0.3">
      <c r="P30" s="11"/>
      <c r="Q30" s="11" t="s">
        <v>23</v>
      </c>
      <c r="R30" s="33" t="s">
        <v>22</v>
      </c>
      <c r="S30" s="33"/>
      <c r="T30" s="33"/>
      <c r="U30" s="33"/>
      <c r="V30" s="11"/>
      <c r="W30" s="11"/>
      <c r="X30" s="11"/>
      <c r="Y30" s="11"/>
      <c r="Z30" s="11"/>
      <c r="AA30" s="11"/>
      <c r="AB30" s="11"/>
      <c r="AC30" s="11"/>
      <c r="AD30" s="31" t="s">
        <v>68</v>
      </c>
    </row>
    <row r="31" spans="16:31" x14ac:dyDescent="0.3"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31" t="s">
        <v>69</v>
      </c>
    </row>
    <row r="32" spans="16:31" x14ac:dyDescent="0.3">
      <c r="P32" s="11"/>
      <c r="Q32" s="11"/>
      <c r="R32" s="11"/>
      <c r="S32" s="11"/>
      <c r="T32" s="11"/>
      <c r="U32" s="11"/>
      <c r="V32" s="11"/>
      <c r="W32" s="11" t="s">
        <v>26</v>
      </c>
      <c r="X32" s="11"/>
      <c r="Y32" s="11"/>
      <c r="Z32" s="11"/>
      <c r="AA32" s="11"/>
      <c r="AB32" s="11"/>
      <c r="AC32" s="11"/>
      <c r="AD32" s="31" t="s">
        <v>70</v>
      </c>
    </row>
    <row r="33" spans="16:30" x14ac:dyDescent="0.3">
      <c r="P33" s="11"/>
      <c r="Q33" s="32" t="s">
        <v>21</v>
      </c>
      <c r="R33" s="15">
        <v>2</v>
      </c>
      <c r="S33" s="15">
        <v>3</v>
      </c>
      <c r="T33" s="15">
        <v>4</v>
      </c>
      <c r="U33" s="15">
        <v>4</v>
      </c>
      <c r="V33" s="11"/>
      <c r="W33" s="20" t="s">
        <v>71</v>
      </c>
      <c r="X33" s="11"/>
      <c r="Y33" s="18">
        <v>4</v>
      </c>
      <c r="Z33" s="18">
        <v>4</v>
      </c>
      <c r="AA33" s="16">
        <v>3</v>
      </c>
      <c r="AB33" s="13">
        <v>2</v>
      </c>
      <c r="AC33" s="11"/>
      <c r="AD33" s="31" t="s">
        <v>72</v>
      </c>
    </row>
    <row r="34" spans="16:30" x14ac:dyDescent="0.3">
      <c r="P34" s="11"/>
      <c r="Q34" s="32"/>
      <c r="R34" s="15">
        <v>2</v>
      </c>
      <c r="S34" s="15">
        <v>3</v>
      </c>
      <c r="T34" s="15">
        <v>3</v>
      </c>
      <c r="U34" s="15">
        <v>4</v>
      </c>
      <c r="V34" s="11"/>
      <c r="W34" s="19" t="s">
        <v>64</v>
      </c>
      <c r="X34" s="11"/>
      <c r="Y34" s="18">
        <v>4</v>
      </c>
      <c r="Z34" s="16">
        <v>3</v>
      </c>
      <c r="AA34" s="16">
        <v>3</v>
      </c>
      <c r="AB34" s="13">
        <v>2</v>
      </c>
      <c r="AC34" s="11"/>
      <c r="AD34" s="31" t="s">
        <v>73</v>
      </c>
    </row>
    <row r="35" spans="16:30" x14ac:dyDescent="0.3">
      <c r="P35" s="11"/>
      <c r="Q35" s="32"/>
      <c r="R35" s="15">
        <v>1</v>
      </c>
      <c r="S35" s="15">
        <v>2</v>
      </c>
      <c r="T35" s="15">
        <v>2</v>
      </c>
      <c r="U35" s="15">
        <v>3</v>
      </c>
      <c r="V35" s="11"/>
      <c r="W35" s="17" t="s">
        <v>74</v>
      </c>
      <c r="X35" s="11"/>
      <c r="Y35" s="16">
        <v>3</v>
      </c>
      <c r="Z35" s="13">
        <v>2</v>
      </c>
      <c r="AA35" s="13">
        <v>2</v>
      </c>
      <c r="AB35" s="12">
        <v>1</v>
      </c>
      <c r="AC35" s="11"/>
      <c r="AD35" s="31" t="s">
        <v>75</v>
      </c>
    </row>
    <row r="36" spans="16:30" x14ac:dyDescent="0.3">
      <c r="P36" s="11"/>
      <c r="Q36" s="32"/>
      <c r="R36" s="15">
        <v>1</v>
      </c>
      <c r="S36" s="15">
        <v>1</v>
      </c>
      <c r="T36" s="15">
        <v>1</v>
      </c>
      <c r="U36" s="15">
        <v>2</v>
      </c>
      <c r="V36" s="11"/>
      <c r="W36" s="14" t="s">
        <v>56</v>
      </c>
      <c r="X36" s="11"/>
      <c r="Y36" s="13">
        <v>2</v>
      </c>
      <c r="Z36" s="12">
        <v>1</v>
      </c>
      <c r="AA36" s="12">
        <v>1</v>
      </c>
      <c r="AB36" s="12">
        <v>1</v>
      </c>
      <c r="AC36" s="11"/>
    </row>
    <row r="37" spans="16:30" x14ac:dyDescent="0.3">
      <c r="P37" s="11"/>
      <c r="Q37" s="11" t="s">
        <v>20</v>
      </c>
      <c r="R37" s="33" t="s">
        <v>19</v>
      </c>
      <c r="S37" s="33"/>
      <c r="T37" s="33"/>
      <c r="U37" s="33"/>
      <c r="V37" s="11"/>
      <c r="W37" s="11"/>
      <c r="X37" s="11"/>
      <c r="Y37" s="11"/>
      <c r="Z37" s="11"/>
      <c r="AA37" s="11"/>
      <c r="AB37" s="11"/>
      <c r="AC37" s="11"/>
    </row>
    <row r="38" spans="16:30" x14ac:dyDescent="0.3"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6:30" x14ac:dyDescent="0.3"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6:30" x14ac:dyDescent="0.3"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6:30" x14ac:dyDescent="0.3"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</sheetData>
  <mergeCells count="4">
    <mergeCell ref="Q26:Q29"/>
    <mergeCell ref="R30:U30"/>
    <mergeCell ref="Q33:Q36"/>
    <mergeCell ref="R37:U37"/>
  </mergeCells>
  <conditionalFormatting sqref="R26:U36">
    <cfRule type="cellIs" dxfId="27" priority="5" operator="equal">
      <formula>4</formula>
    </cfRule>
    <cfRule type="cellIs" dxfId="26" priority="6" operator="equal">
      <formula>3</formula>
    </cfRule>
    <cfRule type="cellIs" dxfId="25" priority="7" operator="equal">
      <formula>2</formula>
    </cfRule>
    <cfRule type="cellIs" dxfId="24" priority="8" operator="equal">
      <formula>1</formula>
    </cfRule>
  </conditionalFormatting>
  <conditionalFormatting sqref="Y33:AB36">
    <cfRule type="cellIs" dxfId="23" priority="1" operator="equal">
      <formula>4</formula>
    </cfRule>
    <cfRule type="cellIs" dxfId="22" priority="2" operator="equal">
      <formula>3</formula>
    </cfRule>
    <cfRule type="cellIs" dxfId="21" priority="3" operator="equal">
      <formula>2</formula>
    </cfRule>
    <cfRule type="cellIs" dxfId="20" priority="4" operator="equal">
      <formula>1</formula>
    </cfRule>
  </conditionalFormatting>
  <dataValidations count="5">
    <dataValidation type="list" allowBlank="1" showInputMessage="1" showErrorMessage="1" sqref="G3" xr:uid="{8D567CA1-BF26-4F79-880A-61068F5DB574}">
      <formula1>"4 - TRIVIAL, 3 - EASY, 2 - MEDIUM, 1 - SOPHISTICATED"</formula1>
    </dataValidation>
    <dataValidation type="list" allowBlank="1" showInputMessage="1" showErrorMessage="1" sqref="H3" xr:uid="{89089DDD-673C-4D60-BF2E-65619E30B518}">
      <formula1>"4 - CRITICAL, 3 - HIGH, 2 - MEDIUM, 1 - LOW"</formula1>
    </dataValidation>
    <dataValidation type="list" allowBlank="1" showInputMessage="1" showErrorMessage="1" sqref="M3" xr:uid="{DA7C8706-A2F2-4E42-901F-E5CAB62E1BBA}">
      <formula1>"4 - CRITICAL,3 - HIGH,2 - MEDIUM,1 - LOW"</formula1>
    </dataValidation>
    <dataValidation type="list" allowBlank="1" showInputMessage="1" showErrorMessage="1" sqref="L3" xr:uid="{875140E0-D8A5-4E1C-A33A-AABCFAF07921}">
      <formula1>"Architecture modification,Code review,Configuration / Code review,Update management,System configuration,Network configuration,Other"</formula1>
    </dataValidation>
    <dataValidation type="list" allowBlank="1" showInputMessage="1" showErrorMessage="1" sqref="E3" xr:uid="{5485D61D-6D33-48E8-955B-8A1AB82213EF}">
      <formula1>OWASP_T10_EN</formula1>
    </dataValidation>
  </dataValidations>
  <pageMargins left="0.7" right="0.7" top="0.75" bottom="0.75" header="0.3" footer="0.3"/>
  <pageSetup paperSize="9" orientation="portrait" horizontalDpi="4294967295" verticalDpi="4294967295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" operator="beginsWith" id="{DE7C145A-7BD2-4A7A-95BB-4D4086407A28}">
            <xm:f>LEFT(G1,LEN("1 - "))="1 - "</xm:f>
            <xm:f>"1 - "</xm:f>
            <x14:dxf>
              <fill>
                <patternFill>
                  <bgColor rgb="FF00B050"/>
                </patternFill>
              </fill>
            </x14:dxf>
          </x14:cfRule>
          <x14:cfRule type="beginsWith" priority="12" operator="beginsWith" id="{EEF12ECB-5D4C-4547-BE20-684FAA0CF6B3}">
            <xm:f>LEFT(G1,LEN("4 - "))="4 - "</xm:f>
            <xm:f>"4 - "</xm:f>
            <x14:dxf>
              <fill>
                <patternFill>
                  <bgColor rgb="FFFF0000"/>
                </patternFill>
              </fill>
            </x14:dxf>
          </x14:cfRule>
          <xm:sqref>M1:N1048576 G1:I1048576</xm:sqref>
        </x14:conditionalFormatting>
        <x14:conditionalFormatting xmlns:xm="http://schemas.microsoft.com/office/excel/2006/main">
          <x14:cfRule type="beginsWith" priority="10" operator="beginsWith" id="{7595E0C1-C830-449A-AC9D-D7EF14DA8A9A}">
            <xm:f>LEFT(G1,LEN("2 - "))="2 - "</xm:f>
            <xm:f>"2 - "</xm:f>
            <x14:dxf>
              <fill>
                <patternFill>
                  <bgColor rgb="FFFFFF00"/>
                </patternFill>
              </fill>
            </x14:dxf>
          </x14:cfRule>
          <xm:sqref>M1:N1048576 G1:I1048576</xm:sqref>
        </x14:conditionalFormatting>
        <x14:conditionalFormatting xmlns:xm="http://schemas.microsoft.com/office/excel/2006/main">
          <x14:cfRule type="beginsWith" priority="11" operator="beginsWith" id="{5840E183-1540-48E3-906C-61E7B1F3A43D}">
            <xm:f>LEFT(G1,LEN("3 - "))="3 - "</xm:f>
            <xm:f>"3 - "</xm:f>
            <x14:dxf>
              <fill>
                <patternFill>
                  <bgColor rgb="FFFFC000"/>
                </patternFill>
              </fill>
            </x14:dxf>
          </x14:cfRule>
          <xm:sqref>M1:N1048576 G1:I1048576</xm:sqref>
        </x14:conditionalFormatting>
      </x14:conditionalFormattings>
    </ext>
  </extLst>
</worksheet>
</file>

<file path=customUI/customUI14.xml><?xml version="1.0" encoding="utf-8"?>
<!--
' PowerAuditor - A simple script to help report writing by https://github.com/1mm0rt41PC
'
' Filename: ribbon.txt
'
' This program is free software; you can redistribute it and/or modify
' it under the terms of the GNU General Public License as published by
' the Free Software Foundation; either version 2 of the License, or
' (at your option) any later version.
'
' This program is distributed in the hope that it will be useful,
' but WITHOUT ANY WARRANTY; without even the implied warranty of
' MERCHANTABILITY or FITNESS FOR A PARTICULAR PURPOSE.  See the
' GNU General Public License for more details.
'
' You should have received a copy of the GNU General Public License
' along with this program; see the file COPYING. If not, write to the
' Free Software Foundation, Inc., 675 Mass Ave, Cambridge, MA 02139, USA.
Tool: Custom UI Editor For Microsoft Office
>> https://silkyroad.developpez.com/excel/ruban/
Icons: https://bert-toolkit.com/imagemso-list.html
https://www.rondebruin.nl/win/s2/win001.htm
https://www.rondebruin.nl/win/s2/win003.htm
-->
<customUI xmlns="http://schemas.microsoft.com/office/2009/07/customui" onLoad="CustomRibbonTab.onLoad">
  <ribbon startFromScratch="false">
    <qat/>
    <tabs>
      <tab id="PowerAuditor" label="PowerAuditor" insertBeforeQ="TabFormat">
        <group id="Reports" label="Reports" autoScale="true">
          <button id="FillExcelWithProof" label="Fill excel with proof" imageMso="TableAutoFormat" onAction="ThisWorkbook.FillExcelWithProof"/>
          <button id="ExportExcelToWordTemplate" label="Export Excel to Word" imageMso="HappyFace" onAction="ThisWorkbook.ExportExcelToWordTemplate"/>
          <button id="GenSynthesis" label="Generate synthesis" imageMso="ChartInsert" onAction="ThisWorkbook.GenSynthesis"/>
          <button id="ExportFinalStaticsDocuments" label="Generate final RA/RD/XL" imageMso="PageOrientationPortraitLandscape" size="large" onAction="ThisWorkbook.ExportFinalStaticsDocuments"/>
        </group>
        <group id="TeamSync" label="TeamSync" autoScale="true">
          <button id="ExportVulnToGit" label="Export vuln to git" imageMso="FileSaveAsWebPage" size="large" onAction="ThisWorkbook.ExportVulnToGit"/>
        </group>
        <group id="Dev" label="Dev" autoScale="true">
          <button id="toProd" label="Send template to prod" getEnabled="CustomRibbonTab.GetEnabled" imageMso="SendStatusReport" onAction="ThisWorkbook.toPro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17</vt:i4>
      </vt:variant>
    </vt:vector>
  </HeadingPairs>
  <TitlesOfParts>
    <vt:vector size="19" baseType="lpstr">
      <vt:lpstr>PowerAuditor</vt:lpstr>
      <vt:lpstr>NES_TI_v1-EN</vt:lpstr>
      <vt:lpstr>BEGIN_DATE</vt:lpstr>
      <vt:lpstr>CLIENT</vt:lpstr>
      <vt:lpstr>END_DATE</vt:lpstr>
      <vt:lpstr>LEVEL</vt:lpstr>
      <vt:lpstr>LEVEL_LIST</vt:lpstr>
      <vt:lpstr>'NES_TI_v1-EN'!NES_v1_matrix_DR</vt:lpstr>
      <vt:lpstr>'NES_TI_v1-EN'!NES_v1_matrix_EI</vt:lpstr>
      <vt:lpstr>NES_v1_matrix_Priority</vt:lpstr>
      <vt:lpstr>NES_v1_matrix_Risk</vt:lpstr>
      <vt:lpstr>'NES_TI_v1-EN'!OWASP_T10_EN</vt:lpstr>
      <vt:lpstr>OWASP_T10_EN</vt:lpstr>
      <vt:lpstr>OWASP_T10_FR</vt:lpstr>
      <vt:lpstr>REPORT_TYPE</vt:lpstr>
      <vt:lpstr>REPORT_TYPE_LIST</vt:lpstr>
      <vt:lpstr>SCOPE</vt:lpstr>
      <vt:lpstr>TARGET</vt:lpstr>
      <vt:lpstr>VERSION_DATE</vt:lpstr>
    </vt:vector>
  </TitlesOfParts>
  <Manager>1mm0rt41PC</Manager>
  <Company>1mm0rt41PC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Security audit of &lt;hidden&gt; for &lt;secret&gt; by 1mm0rt41PC v2018-11-12</dc:title>
  <dc:subject>Security audit of &lt;hidden&gt; for &lt;secret&gt; by 1mm0rt41PC v2018-11-12</dc:subject>
  <dc:creator>NUEL Guillaume</dc:creator>
  <cp:keywords/>
  <dc:description>Security audit of &lt;hidden&gt; for &lt;secret&gt; by 1mm0rt41PC v2018-11-12</dc:description>
  <cp:lastModifiedBy>1mm0rt41PC</cp:lastModifiedBy>
  <cp:revision>0</cp:revision>
  <dcterms:created xsi:type="dcterms:W3CDTF">2011-06-07T11:38:29Z</dcterms:created>
  <dcterms:modified xsi:type="dcterms:W3CDTF">2019-04-17T15:29:37Z</dcterms:modified>
  <cp:category>Audit Documents</cp:category>
</cp:coreProperties>
</file>