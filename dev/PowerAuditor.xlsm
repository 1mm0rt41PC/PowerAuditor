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dev\"/>
    </mc:Choice>
  </mc:AlternateContent>
  <xr:revisionPtr revIDLastSave="0" documentId="13_ncr:1_{DA61DBF2-EB71-40F3-8B3B-C092B07C1ABA}" xr6:coauthVersionLast="43" xr6:coauthVersionMax="43" xr10:uidLastSave="{00000000-0000-0000-0000-000000000000}"/>
  <bookViews>
    <workbookView xWindow="-108" yWindow="-108" windowWidth="23256" windowHeight="12720" activeTab="1" xr2:uid="{00000000-000D-0000-FFFF-FFFF00000000}"/>
  </bookViews>
  <sheets>
    <sheet name="PowerAuditor" sheetId="9" r:id="rId1"/>
    <sheet name="NES_TI_v1-FR" sheetId="20" r:id="rId2"/>
  </sheets>
  <functionGroups builtInGroupCount="19"/>
  <definedNames>
    <definedName name="BEGIN_DATE">PowerAuditor!$F$12</definedName>
    <definedName name="CLIENT">PowerAuditor!$F$9</definedName>
    <definedName name="END_DATE">PowerAuditor!$F$13</definedName>
    <definedName name="LEVEL">PowerAuditor!$F$16</definedName>
    <definedName name="LEVEL_LIST">'NES_TI_v1-FR'!$AE$32:$AE$35</definedName>
    <definedName name="NES_v1_matrix_DR" localSheetId="1">'NES_TI_v1-FR'!$Q$36</definedName>
    <definedName name="NES_v1_matrix_EI" localSheetId="1">'NES_TI_v1-FR'!$Q$43</definedName>
    <definedName name="NES_v1_matrix_Priorité" localSheetId="1">'NES_TI_v1-FR'!$W$31</definedName>
    <definedName name="NES_v1_matrix_Risque" localSheetId="1">'NES_TI_v1-FR'!$W$38</definedName>
    <definedName name="OWASP_T10_EN">PowerAuditor!$A$38:$A$47</definedName>
    <definedName name="OWASP_T10_FR">PowerAuditor!$B$38:$B$47</definedName>
    <definedName name="REPORT_TYPE">PowerAuditor!$F$15</definedName>
    <definedName name="REPORT_TYPE_LIST">REPORT_TYPE_TBL[REPORT TYPE]</definedName>
    <definedName name="SCOPE">PowerAuditor!$F$14</definedName>
    <definedName name="TARGET">PowerAuditor!$F$10</definedName>
    <definedName name="VERSION_DATE">PowerAuditor!$F$11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" i="20" l="1"/>
  <c r="N3" i="20"/>
</calcChain>
</file>

<file path=xl/sharedStrings.xml><?xml version="1.0" encoding="utf-8"?>
<sst xmlns="http://schemas.openxmlformats.org/spreadsheetml/2006/main" count="85" uniqueCount="80">
  <si>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</si>
  <si>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</si>
  <si>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</si>
  <si>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</si>
  <si>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</si>
  <si>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</si>
  <si>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</si>
  <si>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</si>
  <si>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</si>
  <si>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</si>
  <si>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</si>
  <si>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</si>
  <si>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2018-11-12</t>
  </si>
  <si>
    <t>www.poney.club</t>
  </si>
  <si>
    <t>Scope</t>
  </si>
  <si>
    <t>myCli</t>
  </si>
  <si>
    <t>Example_v1</t>
  </si>
  <si>
    <t>My Pony WebSite</t>
  </si>
  <si>
    <t>NES_TI_v1</t>
  </si>
  <si>
    <t>Exploitation</t>
  </si>
  <si>
    <t>EI</t>
  </si>
  <si>
    <t>Impact</t>
  </si>
  <si>
    <t>Diff reco</t>
  </si>
  <si>
    <t>DR</t>
  </si>
  <si>
    <t>A3 – Cross-Site Scripting (XSS)</t>
  </si>
  <si>
    <t>A1 – Injection</t>
  </si>
  <si>
    <t>Risk</t>
  </si>
  <si>
    <t>LEVEL</t>
  </si>
  <si>
    <t>4 - TRIVIAL</t>
  </si>
  <si>
    <t>P</t>
  </si>
  <si>
    <t>D</t>
  </si>
  <si>
    <t>fixtype</t>
  </si>
  <si>
    <t>risk</t>
  </si>
  <si>
    <t>fix</t>
  </si>
  <si>
    <t>R</t>
  </si>
  <si>
    <t>I</t>
  </si>
  <si>
    <t>E</t>
  </si>
  <si>
    <t>desc</t>
  </si>
  <si>
    <t>category</t>
  </si>
  <si>
    <t>account</t>
  </si>
  <si>
    <t>name</t>
  </si>
  <si>
    <t>target</t>
  </si>
  <si>
    <t>id</t>
  </si>
  <si>
    <t>Impact ( I )</t>
  </si>
  <si>
    <t>Description</t>
  </si>
  <si>
    <t>Id #</t>
  </si>
  <si>
    <t>NES_TI_v1-FR</t>
  </si>
  <si>
    <t>Cible</t>
  </si>
  <si>
    <t>Vulnérabilité</t>
  </si>
  <si>
    <t>Compte
requis</t>
  </si>
  <si>
    <t>Catégorie</t>
  </si>
  <si>
    <t>Difficulté d'exploitation ( E )</t>
  </si>
  <si>
    <t>Risque (E x I) 
= ( R )</t>
  </si>
  <si>
    <t>Recommandation</t>
  </si>
  <si>
    <t>Risque</t>
  </si>
  <si>
    <t>Type de 
correctif</t>
  </si>
  <si>
    <t>Difficulté de mise
 en place ( D )</t>
  </si>
  <si>
    <t>Priorité ( P )</t>
  </si>
  <si>
    <t>4 - CRITIQUE</t>
  </si>
  <si>
    <t>4 - TRES DIFFICILE</t>
  </si>
  <si>
    <t>Priorité</t>
  </si>
  <si>
    <t>TOP TEN OWASP FR</t>
  </si>
  <si>
    <t>1 - BASSE</t>
  </si>
  <si>
    <t>2 - MOYENNE</t>
  </si>
  <si>
    <t>A2 – Violation de gestion d'authentification et de session</t>
  </si>
  <si>
    <t>3 - FAIBLE</t>
  </si>
  <si>
    <t>3 - URGENTE</t>
  </si>
  <si>
    <t>2 - MOYEN</t>
  </si>
  <si>
    <t>4 - IMMEDIATE</t>
  </si>
  <si>
    <t>A4 – Violation de contrôle d'accès</t>
  </si>
  <si>
    <t>1 - HAUT</t>
  </si>
  <si>
    <t>A5 – Mauvaise configuration de sécurité</t>
  </si>
  <si>
    <t>A6 – Exposition de données sensibles</t>
  </si>
  <si>
    <t>A7 – Protection insuffisante contre les attaques</t>
  </si>
  <si>
    <t>1 - FAIBLE</t>
  </si>
  <si>
    <t>A8 – Falsification de requêtes intersites (CSRF)</t>
  </si>
  <si>
    <t>2 - NOTABLE</t>
  </si>
  <si>
    <t>A9 – Utilisation de composants avec des vulnérabilités connues</t>
  </si>
  <si>
    <t>3 - DOMMAGEABLE</t>
  </si>
  <si>
    <t>A10 – APIs non sécurisées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</si>
</sst>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8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theme="0"/>
      <name val="Calibri"/>
      <family val="2"/>
    </font>
    <font>
      <b/>
      <sz val="10"/>
      <color rgb="FF000000"/>
      <name val="Calibri"/>
      <family val="2"/>
    </font>
    <font>
      <b/>
      <sz val="11"/>
      <color rgb="FF000000"/>
      <name val="Calibri"/>
      <family val="2"/>
      <charset val="1"/>
    </font>
    <font>
      <b/>
      <sz val="10"/>
      <color rgb="FF000000"/>
      <name val="Calibri"/>
    </font>
    <font>
      <b/>
      <sz val="10"/>
      <color rgb="FFFFFFFF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FFC000"/>
        <bgColor rgb="FFFF9900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52">
    <xf numFmtId="0" fontId="0" fillId="0" borderId="0"/>
    <xf numFmtId="0" fontId="45" fillId="0" borderId="0"/>
    <xf numFmtId="0" fontId="46" fillId="0" borderId="0"/>
    <xf numFmtId="0" fontId="47" fillId="0" borderId="0" applyNumberFormat="0" applyFill="0" applyBorder="0" applyAlignment="0" applyProtection="0">
      <alignment vertical="top"/>
      <protection locked="0"/>
    </xf>
    <xf numFmtId="0" fontId="44" fillId="0" borderId="0"/>
    <xf numFmtId="0" fontId="48" fillId="0" borderId="0"/>
    <xf numFmtId="0" fontId="43" fillId="0" borderId="0"/>
    <xf numFmtId="0" fontId="42" fillId="0" borderId="0"/>
    <xf numFmtId="0" fontId="41" fillId="0" borderId="0"/>
    <xf numFmtId="0" fontId="49" fillId="0" borderId="0" applyNumberFormat="0" applyFill="0" applyBorder="0" applyAlignment="0" applyProtection="0"/>
    <xf numFmtId="0" fontId="40" fillId="0" borderId="0"/>
    <xf numFmtId="0" fontId="39" fillId="0" borderId="0"/>
    <xf numFmtId="0" fontId="38" fillId="0" borderId="0"/>
    <xf numFmtId="0" fontId="37" fillId="0" borderId="0"/>
    <xf numFmtId="0" fontId="36" fillId="0" borderId="0"/>
    <xf numFmtId="0" fontId="35" fillId="0" borderId="0"/>
    <xf numFmtId="0" fontId="34" fillId="0" borderId="0"/>
    <xf numFmtId="0" fontId="33" fillId="0" borderId="0"/>
    <xf numFmtId="0" fontId="32" fillId="0" borderId="0"/>
    <xf numFmtId="0" fontId="31" fillId="0" borderId="0"/>
    <xf numFmtId="0" fontId="30" fillId="0" borderId="0"/>
    <xf numFmtId="0" fontId="29" fillId="0" borderId="0"/>
    <xf numFmtId="0" fontId="29" fillId="0" borderId="0"/>
    <xf numFmtId="0" fontId="28" fillId="0" borderId="0"/>
    <xf numFmtId="0" fontId="27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2" fillId="0" borderId="0"/>
    <xf numFmtId="0" fontId="1" fillId="0" borderId="0"/>
  </cellStyleXfs>
  <cellXfs count="39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49" fillId="0" borderId="4" xfId="9" applyBorder="1" applyAlignment="1">
      <alignment horizontal="center" vertical="center"/>
    </xf>
    <xf numFmtId="0" fontId="50" fillId="0" borderId="1" xfId="0" applyFont="1" applyBorder="1"/>
    <xf numFmtId="0" fontId="50" fillId="0" borderId="3" xfId="0" applyFont="1" applyBorder="1"/>
    <xf numFmtId="0" fontId="50" fillId="0" borderId="5" xfId="0" applyFont="1" applyBorder="1"/>
    <xf numFmtId="0" fontId="48" fillId="0" borderId="0" xfId="5"/>
    <xf numFmtId="0" fontId="48" fillId="0" borderId="0" xfId="5" applyAlignment="1">
      <alignment horizontal="center" vertical="center"/>
    </xf>
    <xf numFmtId="0" fontId="51" fillId="0" borderId="0" xfId="5" applyFont="1"/>
    <xf numFmtId="0" fontId="51" fillId="3" borderId="0" xfId="5" applyFont="1" applyFill="1" applyAlignment="1">
      <alignment horizontal="center" vertical="center"/>
    </xf>
    <xf numFmtId="0" fontId="51" fillId="4" borderId="0" xfId="5" applyFont="1" applyFill="1" applyAlignment="1">
      <alignment horizontal="center" vertical="center"/>
    </xf>
    <xf numFmtId="0" fontId="51" fillId="5" borderId="0" xfId="5" applyFont="1" applyFill="1"/>
    <xf numFmtId="0" fontId="51" fillId="6" borderId="0" xfId="5" applyFont="1" applyFill="1" applyAlignment="1">
      <alignment horizontal="center" vertical="center"/>
    </xf>
    <xf numFmtId="0" fontId="51" fillId="7" borderId="0" xfId="5" applyFont="1" applyFill="1" applyAlignment="1">
      <alignment horizontal="center" vertical="center"/>
    </xf>
    <xf numFmtId="0" fontId="51" fillId="7" borderId="0" xfId="5" applyFont="1" applyFill="1"/>
    <xf numFmtId="0" fontId="51" fillId="5" borderId="0" xfId="5" applyFont="1" applyFill="1" applyAlignment="1">
      <alignment horizontal="center" vertical="center"/>
    </xf>
    <xf numFmtId="0" fontId="52" fillId="8" borderId="7" xfId="5" applyFont="1" applyFill="1" applyBorder="1" applyAlignment="1">
      <alignment horizontal="left" vertical="center" wrapText="1" shrinkToFit="1"/>
    </xf>
    <xf numFmtId="0" fontId="51" fillId="3" borderId="0" xfId="5" applyFont="1" applyFill="1"/>
    <xf numFmtId="0" fontId="53" fillId="5" borderId="0" xfId="5" applyFont="1" applyFill="1"/>
    <xf numFmtId="0" fontId="54" fillId="9" borderId="0" xfId="5" applyFont="1" applyFill="1" applyAlignment="1">
      <alignment horizontal="center" vertical="center" wrapText="1" shrinkToFit="1"/>
    </xf>
    <xf numFmtId="0" fontId="48" fillId="0" borderId="0" xfId="5" applyAlignment="1">
      <alignment horizontal="center" vertical="center" wrapText="1" shrinkToFit="1"/>
    </xf>
    <xf numFmtId="0" fontId="48" fillId="0" borderId="0" xfId="5" applyAlignment="1">
      <alignment horizontal="left" vertical="center" wrapText="1" shrinkToFit="1"/>
    </xf>
    <xf numFmtId="0" fontId="51" fillId="0" borderId="0" xfId="5" applyFont="1" applyAlignment="1">
      <alignment horizontal="left" vertical="center" wrapText="1" shrinkToFit="1"/>
    </xf>
    <xf numFmtId="0" fontId="50" fillId="0" borderId="0" xfId="5" applyFont="1" applyAlignment="1">
      <alignment horizontal="center" vertical="center" wrapText="1" shrinkToFit="1"/>
    </xf>
    <xf numFmtId="0" fontId="48" fillId="0" borderId="0" xfId="5" applyAlignment="1">
      <alignment horizontal="center"/>
    </xf>
    <xf numFmtId="0" fontId="48" fillId="0" borderId="0" xfId="5" applyAlignment="1">
      <alignment horizontal="center" vertical="center" wrapText="1"/>
    </xf>
    <xf numFmtId="0" fontId="0" fillId="0" borderId="0" xfId="5" applyFont="1" applyAlignment="1">
      <alignment horizontal="center" vertical="center" wrapText="1" shrinkToFit="1"/>
    </xf>
    <xf numFmtId="0" fontId="55" fillId="0" borderId="0" xfId="5" applyFont="1" applyAlignment="1">
      <alignment horizontal="center" vertical="center" wrapText="1" shrinkToFit="1"/>
    </xf>
    <xf numFmtId="0" fontId="56" fillId="0" borderId="0" xfId="5" applyFont="1" applyAlignment="1">
      <alignment horizontal="center" vertical="center" wrapText="1" shrinkToFit="1"/>
    </xf>
    <xf numFmtId="0" fontId="56" fillId="0" borderId="0" xfId="5" quotePrefix="1" applyFont="1" applyAlignment="1">
      <alignment horizontal="center" vertical="center" wrapText="1" shrinkToFit="1"/>
    </xf>
    <xf numFmtId="0" fontId="54" fillId="0" borderId="0" xfId="5" quotePrefix="1" applyFont="1" applyAlignment="1">
      <alignment horizontal="center" vertical="center" wrapText="1" shrinkToFit="1"/>
    </xf>
    <xf numFmtId="0" fontId="1" fillId="0" borderId="0" xfId="51"/>
    <xf numFmtId="0" fontId="51" fillId="0" borderId="0" xfId="5" quotePrefix="1" applyFont="1"/>
    <xf numFmtId="0" fontId="51" fillId="0" borderId="0" xfId="5" applyFont="1" applyAlignment="1">
      <alignment horizontal="center" vertical="center" textRotation="90"/>
    </xf>
    <xf numFmtId="0" fontId="51" fillId="0" borderId="0" xfId="5" applyFont="1" applyAlignment="1">
      <alignment horizontal="center"/>
    </xf>
    <xf numFmtId="0" fontId="57" fillId="5" borderId="6" xfId="2" applyFont="1" applyFill="1" applyBorder="1" applyAlignment="1" applyProtection="1">
      <alignment horizontal="center"/>
      <protection locked="0"/>
    </xf>
  </cellXfs>
  <cellStyles count="52">
    <cellStyle name="Lien hypertexte" xfId="9" builtinId="8"/>
    <cellStyle name="Lien hypertexte 2" xfId="3" xr:uid="{00000000-0005-0000-0000-000001000000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2 2 2 2 4" xfId="32" xr:uid="{D2ACC1AC-A8FE-49C2-AF0F-3586716C32D2}"/>
    <cellStyle name="Normal 12 2 2 2 5" xfId="34" xr:uid="{6834E6D9-00BF-4DB3-946C-4D2946C3DE32}"/>
    <cellStyle name="Normal 12 2 2 2 6" xfId="36" xr:uid="{D91F453D-9E39-4274-AF27-9F5F130140FB}"/>
    <cellStyle name="Normal 12 2 2 2 7" xfId="38" xr:uid="{F6DF243F-706F-409A-82BD-6892F6C05C1D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3 3 2 2" xfId="31" xr:uid="{B45C2D65-8BC5-406E-861F-389BC6C4E446}"/>
    <cellStyle name="Normal 13 3 2 2 2" xfId="33" xr:uid="{95620994-1C05-4F62-BA4A-4888B0168F58}"/>
    <cellStyle name="Normal 13 3 2 2 2 2" xfId="35" xr:uid="{806F3E76-275A-4D2C-994E-E4DBA2FD5A7A}"/>
    <cellStyle name="Normal 13 3 2 2 2 2 10" xfId="46" xr:uid="{ECC491C7-9A29-4F8B-8BC4-AAA0D5B17D77}"/>
    <cellStyle name="Normal 13 3 2 2 2 2 11" xfId="47" xr:uid="{8959B052-8200-424D-A34F-3717515A7BFF}"/>
    <cellStyle name="Normal 13 3 2 2 2 2 11 2" xfId="48" xr:uid="{D4A2C784-E57A-40D2-80EA-715A44FF53C9}"/>
    <cellStyle name="Normal 13 3 2 2 2 2 11 3" xfId="49" xr:uid="{5E8913D0-5491-4327-988E-9B6ADC080458}"/>
    <cellStyle name="Normal 13 3 2 2 2 2 11 4" xfId="51" xr:uid="{A1E9FB16-BDF4-486B-A6B6-51CD959BE63A}"/>
    <cellStyle name="Normal 13 3 2 2 2 2 2" xfId="37" xr:uid="{9CAA0D97-1768-41D8-B85A-F190C074DD06}"/>
    <cellStyle name="Normal 13 3 2 2 2 2 3" xfId="39" xr:uid="{248E725A-5008-4835-B66B-E2B56DB776E9}"/>
    <cellStyle name="Normal 13 3 2 2 2 2 4" xfId="40" xr:uid="{2D53DF5E-A521-4FFF-A8AB-6071CE0D1534}"/>
    <cellStyle name="Normal 13 3 2 2 2 2 5" xfId="41" xr:uid="{8E4E24F6-13BD-40F7-91AF-5BF8B6335628}"/>
    <cellStyle name="Normal 13 3 2 2 2 2 6" xfId="42" xr:uid="{FBE4463E-D2E0-4E2C-B7AD-D225398CC8CE}"/>
    <cellStyle name="Normal 13 3 2 2 2 2 7" xfId="43" xr:uid="{016891D9-3DA8-46B9-A930-37DFE7F5F116}"/>
    <cellStyle name="Normal 13 3 2 2 2 2 8" xfId="44" xr:uid="{585A52C5-A370-4680-B071-357C81C0FC9E}"/>
    <cellStyle name="Normal 13 3 2 2 2 2 9" xfId="45" xr:uid="{FC58DD18-55B3-4B75-840A-59EB89CF99A4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14 5 2 2" xfId="50" xr:uid="{5E689413-7FCE-4B69-9A8D-207D3F669B4F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32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0" formatCode="General"/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font>
        <b/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0" formatCode="General"/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left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546735</xdr:colOff>
      <xdr:row>19</xdr:row>
      <xdr:rowOff>7620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au3" displayName="Tableau3" ref="E7:F16" totalsRowShown="0" headerRowDxfId="31" dataDxfId="30">
  <autoFilter ref="E7:F16" xr:uid="{00000000-0009-0000-0100-000003000000}"/>
  <tableColumns count="2">
    <tableColumn id="1" xr3:uid="{00000000-0010-0000-0000-000001000000}" name="Value" dataDxfId="29"/>
    <tableColumn id="2" xr3:uid="{00000000-0010-0000-0000-000002000000}" name="Key" dataDxfId="2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REPORT_TYPE_TBL" displayName="REPORT_TYPE_TBL" ref="C37:C49" totalsRowShown="0">
  <autoFilter ref="C37:C49" xr:uid="{00000000-0009-0000-0100-000001000000}"/>
  <tableColumns count="1">
    <tableColumn id="1" xr3:uid="{00000000-0010-0000-0100-000001000000}" name="REPORT TYPE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04E659-0EF9-416E-942F-A6EE51378F13}" name="Tableau2" displayName="Tableau2" ref="A1:N3" totalsRowShown="0" headerRowDxfId="27" dataDxfId="26">
  <autoFilter ref="A1:N3" xr:uid="{00000000-0009-0000-0100-000001000000}"/>
  <tableColumns count="14">
    <tableColumn id="1" xr3:uid="{BAEC8756-BFB2-45CA-A11B-181B5486969C}" name="Id #" dataDxfId="25"/>
    <tableColumn id="2" xr3:uid="{D6812056-27EA-40ED-9362-E527C2C71598}" name="Cible" dataDxfId="24"/>
    <tableColumn id="3" xr3:uid="{8E9F5DA5-2AF1-42FD-8701-BB26946A3198}" name="Vulnérabilité" dataDxfId="23"/>
    <tableColumn id="4" xr3:uid="{233B0205-974F-4B89-99F7-A533B6EE7B33}" name="Compte_x000a_requis" dataDxfId="22"/>
    <tableColumn id="14" xr3:uid="{6940AB39-F768-4E35-B596-38D4956AF3D4}" name="Catégorie" dataDxfId="21"/>
    <tableColumn id="5" xr3:uid="{622B1AC5-5F31-45B4-8C7C-D69A7586F634}" name="Description" dataDxfId="20"/>
    <tableColumn id="6" xr3:uid="{0F6E38E8-2C84-4AB8-B3CD-463F3D1C7F7D}" name="Difficulté d'exploitation ( E )" dataDxfId="19"/>
    <tableColumn id="7" xr3:uid="{7BEFF33E-8F52-42DC-BADD-697EE486B77C}" name="Impact ( I )" dataDxfId="18"/>
    <tableColumn id="8" xr3:uid="{0B1E044D-9A54-48A4-AA20-4AAAE5137147}" name="Risque (E x I) _x000a_= ( R )" dataDxfId="17">
      <calculatedColumnFormula>IF(OR(AND(H2="CRITIQUE",OR(G2="TRIVIAL",G2="FACILE")), AND(H2="DOMMAGEABLE",G2="TRIVIAL") ), "CRITIQUE", IF(OR(AND(H2="FAIBLE",OR(G2="DIFFICILE",G2="MOYENNE")),AND(H2="NOTABLE",G2="DIFFICILE")), "FAIBLE", IF(OR(AND(H2="DOMMAGEABLE",OR(G2="FACILE",G2="MOYENNE")),AND(H2="NOTABLE",G2="TRIVIAL"), AND(H2="CRITIQUE",G2="MOYENNE")), "DOMMAGEABLE", "NOTABLE")))</calculatedColumnFormula>
    </tableColumn>
    <tableColumn id="9" xr3:uid="{1084D19B-9617-4BAC-A506-308E140FB07A}" name="Recommandation" dataDxfId="16"/>
    <tableColumn id="10" xr3:uid="{4180A123-4C7E-4461-BDBB-1C6AA1004999}" name="Risque" dataDxfId="15"/>
    <tableColumn id="11" xr3:uid="{3E4CF230-7A8E-43CE-BFA2-2CD881EBC1A4}" name="Type de _x000a_correctif" dataDxfId="14"/>
    <tableColumn id="12" xr3:uid="{2D4C6C87-5206-4EED-9B72-E1FDB323FFFF}" name="Difficulté de mise_x000a_ en place ( D )" dataDxfId="13"/>
    <tableColumn id="13" xr3:uid="{E3748157-C3C2-4FA4-AB60-AAECA9999EC6}" name="Priorité ( P )" dataDxfId="12">
      <calculatedColumnFormula>IF(OR(AND(I2="CRITIQUE",OR(M2="FAIBLE",M2="MOYENNE")), AND(I2="DOMMAGEABLE",M2="FAIBLE") ), "URGENTE", IF(OR(AND(I2="FAIBLE",OR(M2="MOYENNE",M2="ELEVEE",M2="TRES DIFFICILE",)),AND(I2="NOTABLE",M2="TRES DIFFICILE")), "BASSE", IF(OR(AND(I2="DOMMAGEABLE",OR(M2="MOYENNE",M2="ELEVEE")),AND(I2="NOTABLE",M2="FAIBLE"), AND(I2="CRITIQUE",M2="ELEVEE")), "ELEVEE", "MOYENNE")))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45B108-4A36-4DA4-B1F6-92941E598EE4}" name="Tableau35" displayName="Tableau35" ref="AD31:AE41" totalsRowShown="0">
  <autoFilter ref="AD31:AE41" xr:uid="{5175DF1D-8F88-4061-946A-86759BE82F85}"/>
  <tableColumns count="2">
    <tableColumn id="1" xr3:uid="{A48CFFE6-9C20-4C42-8EA1-238ECB0B9B92}" name="TOP TEN OWASP FR"/>
    <tableColumn id="2" xr3:uid="{28264DEC-EA9D-403B-8F17-212F8D45391A}" name="LEVEL" dataCellStyle="Normal 2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40"/>
  <sheetViews>
    <sheetView workbookViewId="0">
      <selection activeCell="F18" sqref="F18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1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hidden="1" x14ac:dyDescent="0.3">
      <c r="A7" s="1"/>
      <c r="B7" s="1"/>
      <c r="C7" s="1"/>
      <c r="D7" s="1"/>
      <c r="E7" s="1" t="s">
        <v>7</v>
      </c>
      <c r="F7" s="1" t="s">
        <v>8</v>
      </c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x14ac:dyDescent="0.3">
      <c r="A9" s="1"/>
      <c r="B9" s="1"/>
      <c r="C9" s="1"/>
      <c r="D9" s="1"/>
      <c r="E9" s="6" t="s">
        <v>1</v>
      </c>
      <c r="F9" s="2" t="s">
        <v>15</v>
      </c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3">
      <c r="A10" s="1"/>
      <c r="B10" s="1"/>
      <c r="C10" s="1"/>
      <c r="D10" s="1"/>
      <c r="E10" s="7" t="s">
        <v>0</v>
      </c>
      <c r="F10" s="4" t="s">
        <v>17</v>
      </c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x14ac:dyDescent="0.3">
      <c r="A11" s="1"/>
      <c r="B11" s="1"/>
      <c r="C11" s="1"/>
      <c r="D11" s="1"/>
      <c r="E11" s="7" t="s">
        <v>2</v>
      </c>
      <c r="F11" s="4" t="s">
        <v>12</v>
      </c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x14ac:dyDescent="0.3">
      <c r="A12" s="1"/>
      <c r="B12" s="1"/>
      <c r="C12" s="1"/>
      <c r="D12" s="1"/>
      <c r="E12" s="7" t="s">
        <v>3</v>
      </c>
      <c r="F12" s="4" t="s">
        <v>10</v>
      </c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 x14ac:dyDescent="0.3">
      <c r="A13" s="1"/>
      <c r="B13" s="1"/>
      <c r="C13" s="1"/>
      <c r="D13" s="1"/>
      <c r="E13" s="7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 x14ac:dyDescent="0.3">
      <c r="A14" s="1"/>
      <c r="B14" s="1"/>
      <c r="C14" s="1"/>
      <c r="D14" s="1"/>
      <c r="E14" s="7" t="s">
        <v>14</v>
      </c>
      <c r="F14" s="5" t="s">
        <v>13</v>
      </c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x14ac:dyDescent="0.3">
      <c r="A15" s="1"/>
      <c r="B15" s="1"/>
      <c r="C15" s="1"/>
      <c r="D15" s="1"/>
      <c r="E15" s="7" t="s">
        <v>6</v>
      </c>
      <c r="F15" s="3" t="s">
        <v>46</v>
      </c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 x14ac:dyDescent="0.3">
      <c r="A16" s="1"/>
      <c r="B16" s="1"/>
      <c r="C16" s="1"/>
      <c r="D16" s="1"/>
      <c r="E16" s="8" t="s">
        <v>5</v>
      </c>
      <c r="F16" s="38" t="s">
        <v>58</v>
      </c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6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1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1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1:1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1:1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1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7" spans="1:41" x14ac:dyDescent="0.3">
      <c r="C37" t="s">
        <v>9</v>
      </c>
    </row>
    <row r="38" spans="1:41" x14ac:dyDescent="0.3">
      <c r="AM38" t="s">
        <v>16</v>
      </c>
    </row>
    <row r="39" spans="1:41" x14ac:dyDescent="0.3">
      <c r="AN39" t="s">
        <v>18</v>
      </c>
    </row>
    <row r="40" spans="1:41" x14ac:dyDescent="0.3">
      <c r="AO40" t="s">
        <v>18</v>
      </c>
    </row>
  </sheetData>
  <dataValidations count="2">
    <dataValidation type="list" errorStyle="warning" allowBlank="1" showInputMessage="1" showErrorMessage="1" errorTitle="Invalid template report" error="Invalid template report" promptTitle="Template" prompt="Select a report template" sqref="F15" xr:uid="{00000000-0002-0000-0000-000001000000}">
      <formula1>REPORT_TYPE_LIST</formula1>
    </dataValidation>
    <dataValidation type="list" allowBlank="1" showInputMessage="1" showErrorMessage="1" sqref="F16" xr:uid="{00000000-0002-0000-0000-000002000000}">
      <formula1>LEVEL_LIST</formula1>
    </dataValidation>
  </dataValidations>
  <hyperlinks>
    <hyperlink ref="F14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AF9DD-CB90-4E00-8397-03056A75612E}">
  <sheetPr codeName="RT_NES_TI_v1"/>
  <dimension ref="A1:AE47"/>
  <sheetViews>
    <sheetView tabSelected="1" zoomScale="90" zoomScaleNormal="90" workbookViewId="0">
      <pane ySplit="1" topLeftCell="A2" activePane="bottomLeft" state="frozen"/>
      <selection activeCell="D30" sqref="D30"/>
      <selection pane="bottomLeft" activeCell="C14" sqref="C14"/>
    </sheetView>
  </sheetViews>
  <sheetFormatPr baseColWidth="10" defaultColWidth="11.5546875" defaultRowHeight="14.4" x14ac:dyDescent="0.3"/>
  <cols>
    <col min="1" max="1" width="4.6640625" style="9" customWidth="1"/>
    <col min="2" max="3" width="30.6640625" style="10" customWidth="1"/>
    <col min="4" max="4" width="19.44140625" style="10" bestFit="1" customWidth="1"/>
    <col min="5" max="5" width="30.6640625" style="10" customWidth="1"/>
    <col min="6" max="6" width="41.109375" style="9" customWidth="1"/>
    <col min="7" max="7" width="20.6640625" style="9" customWidth="1"/>
    <col min="8" max="8" width="16" style="9" customWidth="1"/>
    <col min="9" max="9" width="19.109375" style="9" customWidth="1"/>
    <col min="10" max="10" width="30.6640625" style="9" customWidth="1"/>
    <col min="11" max="11" width="14.44140625" style="9" customWidth="1"/>
    <col min="12" max="13" width="20.6640625" style="9" customWidth="1"/>
    <col min="14" max="15" width="16.88671875" style="9" customWidth="1"/>
    <col min="16" max="16" width="11.5546875" style="9"/>
    <col min="17" max="22" width="11.5546875" style="9" hidden="1" customWidth="1"/>
    <col min="23" max="23" width="18" style="9" hidden="1" customWidth="1"/>
    <col min="24" max="29" width="11.5546875" style="9" hidden="1" customWidth="1"/>
    <col min="30" max="30" width="56.33203125" style="9" hidden="1" customWidth="1"/>
    <col min="31" max="31" width="11.5546875" style="9" hidden="1" customWidth="1"/>
    <col min="32" max="16384" width="11.5546875" style="9"/>
  </cols>
  <sheetData>
    <row r="1" spans="1:16" ht="28.8" x14ac:dyDescent="0.3">
      <c r="A1" s="10" t="s">
        <v>45</v>
      </c>
      <c r="B1" s="10" t="s">
        <v>47</v>
      </c>
      <c r="C1" s="10" t="s">
        <v>48</v>
      </c>
      <c r="D1" s="28" t="s">
        <v>49</v>
      </c>
      <c r="E1" s="10" t="s">
        <v>50</v>
      </c>
      <c r="F1" s="10" t="s">
        <v>44</v>
      </c>
      <c r="G1" s="28" t="s">
        <v>51</v>
      </c>
      <c r="H1" s="10" t="s">
        <v>43</v>
      </c>
      <c r="I1" s="28" t="s">
        <v>52</v>
      </c>
      <c r="J1" s="10" t="s">
        <v>53</v>
      </c>
      <c r="K1" s="10" t="s">
        <v>54</v>
      </c>
      <c r="L1" s="28" t="s">
        <v>55</v>
      </c>
      <c r="M1" s="28" t="s">
        <v>56</v>
      </c>
      <c r="N1" s="10" t="s">
        <v>57</v>
      </c>
      <c r="O1" s="10"/>
    </row>
    <row r="2" spans="1:16" s="27" customFormat="1" hidden="1" x14ac:dyDescent="0.3">
      <c r="A2" s="23" t="s">
        <v>42</v>
      </c>
      <c r="B2" s="23" t="s">
        <v>41</v>
      </c>
      <c r="C2" s="23" t="s">
        <v>40</v>
      </c>
      <c r="D2" s="23" t="s">
        <v>39</v>
      </c>
      <c r="E2" s="23" t="s">
        <v>38</v>
      </c>
      <c r="F2" s="23" t="s">
        <v>37</v>
      </c>
      <c r="G2" s="23" t="s">
        <v>36</v>
      </c>
      <c r="H2" s="23" t="s">
        <v>35</v>
      </c>
      <c r="I2" s="23" t="s">
        <v>34</v>
      </c>
      <c r="J2" s="23" t="s">
        <v>33</v>
      </c>
      <c r="K2" s="23" t="s">
        <v>32</v>
      </c>
      <c r="L2" s="23" t="s">
        <v>31</v>
      </c>
      <c r="M2" s="23" t="s">
        <v>30</v>
      </c>
      <c r="N2" s="23" t="s">
        <v>29</v>
      </c>
      <c r="O2" s="23"/>
      <c r="P2" s="23"/>
    </row>
    <row r="3" spans="1:16" x14ac:dyDescent="0.3">
      <c r="A3" s="23"/>
      <c r="B3" s="29"/>
      <c r="C3" s="26"/>
      <c r="D3" s="30"/>
      <c r="E3" s="25"/>
      <c r="F3" s="24"/>
      <c r="G3" s="22" t="s">
        <v>28</v>
      </c>
      <c r="H3" s="22" t="s">
        <v>58</v>
      </c>
      <c r="I3" s="31" t="str">
        <f ca="1">INDIRECT(CONCATENATE(ADDRESS(CELL("ligne",NES_v1_matrix_Risque)+INDIRECT(CONCATENATE(ADDRESS(CELL("ligne",NES_v1_matrix_EI) - LEFT(Tableau2[[#This Row],[Impact ( I )]],1),CELL("colonne",NES_v1_matrix_EI) + LEFT(Tableau2[[#This Row],[Difficulté d''exploitation ( E )]],1)))),CELL("colonne",NES_v1_matrix_Risque))))</f>
        <v>4 - CRITIQUE</v>
      </c>
      <c r="J3" s="23"/>
      <c r="K3" s="23"/>
      <c r="L3" s="23"/>
      <c r="M3" s="22" t="s">
        <v>59</v>
      </c>
      <c r="N3" s="32" t="str">
        <f ca="1">INDIRECT(CONCATENATE(ADDRESS(CELL("ligne",NES_v1_matrix_Priorité)+INDIRECT(CONCATENATE(ADDRESS(CELL("ligne",NES_v1_matrix_DR) - LEFT(Tableau2[[#This Row],[Risque (E x I) 
= ( R )]],1),CELL("colonne",NES_v1_matrix_DR) + LEFT(Tableau2[[#This Row],[Difficulté de mise
 en place ( D )]],1)))),CELL("colonne",NES_v1_matrix_Priorité))))</f>
        <v>2 - MOYENNE</v>
      </c>
      <c r="O3" s="33"/>
    </row>
    <row r="26" spans="17:31" x14ac:dyDescent="0.3"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</row>
    <row r="27" spans="17:31" x14ac:dyDescent="0.3"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</row>
    <row r="28" spans="17:31" x14ac:dyDescent="0.3"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</row>
    <row r="29" spans="17:31" x14ac:dyDescent="0.3"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</row>
    <row r="30" spans="17:31" x14ac:dyDescent="0.3"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</row>
    <row r="31" spans="17:31" x14ac:dyDescent="0.3">
      <c r="Q31" s="11"/>
      <c r="R31" s="11"/>
      <c r="S31" s="11"/>
      <c r="T31" s="11"/>
      <c r="U31" s="11"/>
      <c r="V31" s="11"/>
      <c r="W31" s="11" t="s">
        <v>60</v>
      </c>
      <c r="X31" s="11"/>
      <c r="Y31" s="11"/>
      <c r="Z31" s="11"/>
      <c r="AA31" s="11"/>
      <c r="AB31" s="11"/>
      <c r="AD31" s="34" t="s">
        <v>61</v>
      </c>
      <c r="AE31" s="34" t="s">
        <v>27</v>
      </c>
    </row>
    <row r="32" spans="17:31" x14ac:dyDescent="0.3">
      <c r="Q32" s="36" t="s">
        <v>26</v>
      </c>
      <c r="R32" s="18">
        <v>4</v>
      </c>
      <c r="S32" s="18">
        <v>4</v>
      </c>
      <c r="T32" s="16">
        <v>3</v>
      </c>
      <c r="U32" s="13">
        <v>2</v>
      </c>
      <c r="V32" s="11"/>
      <c r="W32" s="20" t="s">
        <v>62</v>
      </c>
      <c r="X32" s="11"/>
      <c r="Y32" s="11"/>
      <c r="Z32" s="11"/>
      <c r="AA32" s="11"/>
      <c r="AB32" s="11"/>
      <c r="AD32" s="34" t="s">
        <v>25</v>
      </c>
      <c r="AE32" s="21" t="s">
        <v>58</v>
      </c>
    </row>
    <row r="33" spans="17:31" x14ac:dyDescent="0.3">
      <c r="Q33" s="36"/>
      <c r="R33" s="18">
        <v>4</v>
      </c>
      <c r="S33" s="16">
        <v>3</v>
      </c>
      <c r="T33" s="16">
        <v>3</v>
      </c>
      <c r="U33" s="13">
        <v>2</v>
      </c>
      <c r="V33" s="11"/>
      <c r="W33" s="19" t="s">
        <v>63</v>
      </c>
      <c r="X33" s="11"/>
      <c r="Y33" s="11"/>
      <c r="Z33" s="11"/>
      <c r="AA33" s="11"/>
      <c r="AB33" s="11"/>
      <c r="AD33" s="34" t="s">
        <v>64</v>
      </c>
      <c r="AE33" s="17" t="s">
        <v>65</v>
      </c>
    </row>
    <row r="34" spans="17:31" x14ac:dyDescent="0.3">
      <c r="Q34" s="36"/>
      <c r="R34" s="16">
        <v>3</v>
      </c>
      <c r="S34" s="13">
        <v>2</v>
      </c>
      <c r="T34" s="13">
        <v>2</v>
      </c>
      <c r="U34" s="12">
        <v>1</v>
      </c>
      <c r="V34" s="11"/>
      <c r="W34" s="17" t="s">
        <v>66</v>
      </c>
      <c r="X34" s="11"/>
      <c r="Y34" s="11"/>
      <c r="Z34" s="11"/>
      <c r="AA34" s="11"/>
      <c r="AB34" s="11"/>
      <c r="AD34" s="34" t="s">
        <v>24</v>
      </c>
      <c r="AE34" s="19" t="s">
        <v>67</v>
      </c>
    </row>
    <row r="35" spans="17:31" x14ac:dyDescent="0.3">
      <c r="Q35" s="36"/>
      <c r="R35" s="13">
        <v>2</v>
      </c>
      <c r="S35" s="12">
        <v>1</v>
      </c>
      <c r="T35" s="12">
        <v>1</v>
      </c>
      <c r="U35" s="12">
        <v>1</v>
      </c>
      <c r="V35" s="11"/>
      <c r="W35" s="14" t="s">
        <v>68</v>
      </c>
      <c r="X35" s="11"/>
      <c r="Y35" s="11"/>
      <c r="Z35" s="11"/>
      <c r="AA35" s="11"/>
      <c r="AB35" s="11"/>
      <c r="AD35" s="34" t="s">
        <v>69</v>
      </c>
      <c r="AE35" s="20" t="s">
        <v>70</v>
      </c>
    </row>
    <row r="36" spans="17:31" x14ac:dyDescent="0.3">
      <c r="Q36" s="11" t="s">
        <v>23</v>
      </c>
      <c r="R36" s="37" t="s">
        <v>22</v>
      </c>
      <c r="S36" s="37"/>
      <c r="T36" s="37"/>
      <c r="U36" s="37"/>
      <c r="V36" s="11"/>
      <c r="W36" s="11"/>
      <c r="X36" s="11"/>
      <c r="Y36" s="11"/>
      <c r="Z36" s="11"/>
      <c r="AA36" s="11"/>
      <c r="AB36" s="11"/>
      <c r="AD36" s="34" t="s">
        <v>71</v>
      </c>
    </row>
    <row r="37" spans="17:31" x14ac:dyDescent="0.3"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D37" s="34" t="s">
        <v>72</v>
      </c>
    </row>
    <row r="38" spans="17:31" x14ac:dyDescent="0.3">
      <c r="Q38" s="11"/>
      <c r="R38" s="11"/>
      <c r="S38" s="11"/>
      <c r="T38" s="11"/>
      <c r="U38" s="11"/>
      <c r="V38" s="11"/>
      <c r="W38" s="11" t="s">
        <v>54</v>
      </c>
      <c r="X38" s="11"/>
      <c r="Y38" s="11"/>
      <c r="Z38" s="11"/>
      <c r="AA38" s="11"/>
      <c r="AB38" s="11"/>
      <c r="AD38" s="34" t="s">
        <v>73</v>
      </c>
    </row>
    <row r="39" spans="17:31" x14ac:dyDescent="0.3">
      <c r="Q39" s="36" t="s">
        <v>21</v>
      </c>
      <c r="R39" s="15">
        <v>2</v>
      </c>
      <c r="S39" s="15">
        <v>3</v>
      </c>
      <c r="T39" s="15">
        <v>4</v>
      </c>
      <c r="U39" s="15">
        <v>4</v>
      </c>
      <c r="V39" s="11"/>
      <c r="W39" s="20" t="s">
        <v>74</v>
      </c>
      <c r="X39" s="11"/>
      <c r="Y39" s="18">
        <v>4</v>
      </c>
      <c r="Z39" s="18">
        <v>4</v>
      </c>
      <c r="AA39" s="16">
        <v>3</v>
      </c>
      <c r="AB39" s="13">
        <v>2</v>
      </c>
      <c r="AD39" s="34" t="s">
        <v>75</v>
      </c>
    </row>
    <row r="40" spans="17:31" x14ac:dyDescent="0.3">
      <c r="Q40" s="36"/>
      <c r="R40" s="15">
        <v>2</v>
      </c>
      <c r="S40" s="15">
        <v>3</v>
      </c>
      <c r="T40" s="15">
        <v>3</v>
      </c>
      <c r="U40" s="15">
        <v>4</v>
      </c>
      <c r="V40" s="11"/>
      <c r="W40" s="19" t="s">
        <v>76</v>
      </c>
      <c r="X40" s="11"/>
      <c r="Y40" s="18">
        <v>4</v>
      </c>
      <c r="Z40" s="16">
        <v>3</v>
      </c>
      <c r="AA40" s="16">
        <v>3</v>
      </c>
      <c r="AB40" s="13">
        <v>2</v>
      </c>
      <c r="AD40" s="34" t="s">
        <v>77</v>
      </c>
    </row>
    <row r="41" spans="17:31" x14ac:dyDescent="0.3">
      <c r="Q41" s="36"/>
      <c r="R41" s="15">
        <v>1</v>
      </c>
      <c r="S41" s="15">
        <v>2</v>
      </c>
      <c r="T41" s="15">
        <v>2</v>
      </c>
      <c r="U41" s="15">
        <v>3</v>
      </c>
      <c r="V41" s="11"/>
      <c r="W41" s="17" t="s">
        <v>78</v>
      </c>
      <c r="X41" s="11"/>
      <c r="Y41" s="16">
        <v>3</v>
      </c>
      <c r="Z41" s="13">
        <v>2</v>
      </c>
      <c r="AA41" s="13">
        <v>2</v>
      </c>
      <c r="AB41" s="12">
        <v>1</v>
      </c>
      <c r="AD41" s="34" t="s">
        <v>79</v>
      </c>
    </row>
    <row r="42" spans="17:31" x14ac:dyDescent="0.3">
      <c r="Q42" s="36"/>
      <c r="R42" s="15">
        <v>1</v>
      </c>
      <c r="S42" s="15">
        <v>1</v>
      </c>
      <c r="T42" s="15">
        <v>1</v>
      </c>
      <c r="U42" s="15">
        <v>2</v>
      </c>
      <c r="V42" s="11"/>
      <c r="W42" s="14" t="s">
        <v>58</v>
      </c>
      <c r="X42" s="11"/>
      <c r="Y42" s="13">
        <v>2</v>
      </c>
      <c r="Z42" s="12">
        <v>1</v>
      </c>
      <c r="AA42" s="12">
        <v>1</v>
      </c>
      <c r="AB42" s="12">
        <v>1</v>
      </c>
    </row>
    <row r="43" spans="17:31" x14ac:dyDescent="0.3">
      <c r="Q43" s="11" t="s">
        <v>20</v>
      </c>
      <c r="R43" s="37" t="s">
        <v>19</v>
      </c>
      <c r="S43" s="37"/>
      <c r="T43" s="37"/>
      <c r="U43" s="37"/>
      <c r="V43" s="11"/>
      <c r="W43" s="11"/>
      <c r="X43" s="11"/>
      <c r="Y43" s="11"/>
      <c r="Z43" s="11"/>
      <c r="AA43" s="11"/>
      <c r="AB43" s="11"/>
    </row>
    <row r="44" spans="17:31" x14ac:dyDescent="0.3"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</row>
    <row r="45" spans="17:31" x14ac:dyDescent="0.3"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</row>
    <row r="46" spans="17:31" x14ac:dyDescent="0.3">
      <c r="Q46" s="11"/>
      <c r="R46" s="11"/>
      <c r="S46" s="11"/>
      <c r="T46" s="35"/>
      <c r="U46" s="11"/>
      <c r="V46" s="11"/>
      <c r="W46" s="11"/>
      <c r="X46" s="11"/>
      <c r="Y46" s="11"/>
      <c r="Z46" s="11"/>
      <c r="AA46" s="11"/>
      <c r="AB46" s="11"/>
    </row>
    <row r="47" spans="17:31" x14ac:dyDescent="0.3"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</row>
  </sheetData>
  <mergeCells count="4">
    <mergeCell ref="Q32:Q35"/>
    <mergeCell ref="R36:U36"/>
    <mergeCell ref="Q39:Q42"/>
    <mergeCell ref="R43:U43"/>
  </mergeCells>
  <conditionalFormatting sqref="R32:U42">
    <cfRule type="cellIs" dxfId="11" priority="21" operator="equal">
      <formula>4</formula>
    </cfRule>
    <cfRule type="cellIs" dxfId="10" priority="22" operator="equal">
      <formula>3</formula>
    </cfRule>
    <cfRule type="cellIs" dxfId="9" priority="23" operator="equal">
      <formula>2</formula>
    </cfRule>
    <cfRule type="cellIs" dxfId="8" priority="24" operator="equal">
      <formula>1</formula>
    </cfRule>
  </conditionalFormatting>
  <conditionalFormatting sqref="Y39:AB42">
    <cfRule type="cellIs" dxfId="7" priority="17" operator="equal">
      <formula>4</formula>
    </cfRule>
    <cfRule type="cellIs" dxfId="6" priority="18" operator="equal">
      <formula>3</formula>
    </cfRule>
    <cfRule type="cellIs" dxfId="5" priority="19" operator="equal">
      <formula>2</formula>
    </cfRule>
    <cfRule type="cellIs" dxfId="4" priority="20" operator="equal">
      <formula>1</formula>
    </cfRule>
  </conditionalFormatting>
  <dataValidations count="5">
    <dataValidation type="list" allowBlank="1" showInputMessage="1" showErrorMessage="1" sqref="E3" xr:uid="{221F98C9-3A81-4F39-9AE0-B9FE701A01CD}">
      <formula1>$AD$32:$AD$41</formula1>
    </dataValidation>
    <dataValidation type="list" allowBlank="1" showInputMessage="1" showErrorMessage="1" sqref="L3" xr:uid="{E99CA499-D4B1-4F26-98BD-3A51DB2488E8}">
      <formula1>"Modification d'architecture,Revue de code,Configuration / Revue de code,Gestion des mises à jour,Configuration Système,Configuration Réseau,Autre"</formula1>
    </dataValidation>
    <dataValidation type="list" allowBlank="1" showInputMessage="1" showErrorMessage="1" sqref="G3" xr:uid="{A15C4C5B-D3D5-4587-9F7D-90E34F6F1AFF}">
      <formula1>"4 - TRIVIAL,3 - FACILE,2 - MOYENNE,1 - DIFFICILE"</formula1>
    </dataValidation>
    <dataValidation type="list" allowBlank="1" showInputMessage="1" showErrorMessage="1" sqref="H3" xr:uid="{660F8064-330E-4F2F-9B59-E358221D3F7A}">
      <formula1>"4 - CRITIQUE,3 - DOMMAGEABLE,2 - NOTABLE,1 - FAIBLE"</formula1>
    </dataValidation>
    <dataValidation type="list" allowBlank="1" showInputMessage="1" showErrorMessage="1" sqref="M3" xr:uid="{98E4D67E-2B8F-4742-8B20-0A6FA86386B9}">
      <formula1>"4 - TRES DIFFICILE,3 - ELEVEE,2 - MOYENNE,1 - FAIBLE"</formula1>
    </dataValidation>
  </dataValidations>
  <pageMargins left="0.7" right="0.7" top="0.75" bottom="0.75" header="0.3" footer="0.3"/>
  <pageSetup paperSize="9" orientation="portrait" horizontalDpi="4294967295" verticalDpi="4294967295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25" operator="beginsWith" id="{C5CAD317-CF71-4C4A-8DA1-18297ED1D199}">
            <xm:f>LEFT(G1,LEN("1 -"))="1 -"</xm:f>
            <xm:f>"1 -"</xm:f>
            <x14:dxf>
              <fill>
                <patternFill>
                  <bgColor rgb="FF00B050"/>
                </patternFill>
              </fill>
            </x14:dxf>
          </x14:cfRule>
          <x14:cfRule type="beginsWith" priority="26" operator="beginsWith" id="{78628886-DC9E-45FF-A301-B41706C8F8AE}">
            <xm:f>LEFT(G1,LEN("2 -"))="2 -"</xm:f>
            <xm:f>"2 -"</xm:f>
            <x14:dxf>
              <fill>
                <patternFill>
                  <bgColor rgb="FFFFFF00"/>
                </patternFill>
              </fill>
            </x14:dxf>
          </x14:cfRule>
          <x14:cfRule type="beginsWith" priority="27" operator="beginsWith" id="{A927CB8C-F80F-4BE0-9CFC-97F79F1CDB81}">
            <xm:f>LEFT(G1,LEN("3 -"))="3 -"</xm:f>
            <xm:f>"3 -"</xm:f>
            <x14:dxf>
              <fill>
                <patternFill>
                  <bgColor rgb="FFFFC000"/>
                </patternFill>
              </fill>
            </x14:dxf>
          </x14:cfRule>
          <x14:cfRule type="beginsWith" priority="28" operator="beginsWith" id="{C041594C-DA94-46DB-8C2E-2055974BADD1}">
            <xm:f>LEFT(G1,LEN("4 -"))="4 -"</xm:f>
            <xm:f>"4 -"</xm:f>
            <x14:dxf>
              <fill>
                <patternFill>
                  <bgColor rgb="FFFF0000"/>
                </patternFill>
              </fill>
            </x14:dxf>
          </x14:cfRule>
          <xm:sqref>M1:O1048576 G1:I1048576</xm:sqref>
        </x14:conditionalFormatting>
      </x14:conditionalFormattings>
    </ext>
  </extLst>
</worksheet>
</file>

<file path=customUI/customUI14.xml><?xml version="1.0" encoding="utf-8"?>
<!--
' PowerAuditor - A simple script to help report writing by https://github.com/1mm0rt41PC
'
' Filename: ribbon.txt
'
' This program is free software; you can redistribute it and/or modify
' it under the terms of the GNU General Public License as published by
' the Free Software Foundation; either version 2 of the License, or
' (at your option) any later version.
'
' This program is distributed in the hope that it will be useful,
' but WITHOUT ANY WARRANTY; without even the implied warranty of
' MERCHANTABILITY or FITNESS FOR A PARTICULAR PURPOSE.  See the
' GNU General Public License for more details.
'
' You should have received a copy of the GNU General Public License
' along with this program; see the file COPYING. If not, write to the
' Free Software Foundation, Inc., 675 Mass Ave, Cambridge, MA 02139, USA.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qat/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GetEnabled" imageMso="SendStatusReport" onAction="ThisWorkbook.toProd"/>
        </group>
        <group id="Fields" label="Fields" autoScale="true">
          <!-- getItemCount="nbReportType" va définir le nombre d'items dans la combobox. -->
          <!-- getItemLabel="getReportTypeByIndex" permet d'alimenter la combobox. -->
          <!-- invalidateContentOnDrop="true" permet la mise à jour automatique du contrôle. -->
          <!--
					<comboBox id="LANG" label="Lang" onChange="CustomRibbonTab.RibbonOnChange" imageMso="Spelling" getText="CustomRibbonTab.GetText"> 
						<item id="lang_fr" label="FR" /> 
						<item id="lang_en" label="EN" /> 
					</comboBox>
					-->
          <editBox id="CLIENT" imageMso="SendCopySelectNames" label="Client :" getText="CustomRibbonTab.GetText" onChange="CustomRibbonTab.RibbonOnChange" screentip="Name of the client." sizeString="99999999999999"/>
          <comboBox id="REPORT_TYPE" imageMso="DocumentTemplate" label="Tpl : " getItemCount="CustomRibbonTab.nbReportType" getItemLabel="CustomRibbonTab.getReportTypeByIndex" invalidateContentOnDrop="true" getText="CustomRibbonTab.GetText"/>
          <separator id="Sep01"/>
          <editBox id="TARGET" imageMso="OrganizationChartInsertCoworker" label="Target :" getText="CustomRibbonTab.GetText" onChange="CustomRibbonTab.RibbonOnChange" screentip="Version of the document" sizeString="99999999999999"/>
          <separator id="Sep02"/>
          <editBox id="VERSION_DATE" imageMso="OpenAttachedCalendar" label="Version :" getText="CustomRibbonTab.GetText" onChange="CustomRibbonTab.RibbonOnChange" screentip="Version of the document" sizeString="99999999999999"/>
          <editBox id="BEGIN_DATE" imageMso="OpenAttachedCalendar" label="Begin :" getText="CustomRibbonTab.GetText" onChange="CustomRibbonTab.RibbonOnChange" screentip="Date where the audit BEGIN" sizeString="99999999999999"/>
          <editBox id="END_DATE" imageMso="OpenAttachedCalendar" label="End :" getText="CustomRibbonTab.GetText" onChange="CustomRibbonTab.RibbonOnChange" screentip="Date where the audit END" sizeString="99999999999999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16</vt:i4>
      </vt:variant>
    </vt:vector>
  </HeadingPairs>
  <TitlesOfParts>
    <vt:vector size="18" baseType="lpstr">
      <vt:lpstr>PowerAuditor</vt:lpstr>
      <vt:lpstr>NES_TI_v1-FR</vt:lpstr>
      <vt:lpstr>BEGIN_DATE</vt:lpstr>
      <vt:lpstr>CLIENT</vt:lpstr>
      <vt:lpstr>END_DATE</vt:lpstr>
      <vt:lpstr>LEVEL</vt:lpstr>
      <vt:lpstr>LEVEL_LIST</vt:lpstr>
      <vt:lpstr>'NES_TI_v1-FR'!NES_v1_matrix_DR</vt:lpstr>
      <vt:lpstr>'NES_TI_v1-FR'!NES_v1_matrix_EI</vt:lpstr>
      <vt:lpstr>'NES_TI_v1-FR'!NES_v1_matrix_Priorité</vt:lpstr>
      <vt:lpstr>'NES_TI_v1-FR'!NES_v1_matrix_Risque</vt:lpstr>
      <vt:lpstr>OWASP_T10_EN</vt:lpstr>
      <vt:lpstr>OWASP_T10_FR</vt:lpstr>
      <vt:lpstr>REPORT_TYPE</vt:lpstr>
      <vt:lpstr>REPORT_TYPE_LIST</vt:lpstr>
      <vt:lpstr>SCOPE</vt:lpstr>
      <vt:lpstr>TARGET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v2018-11-12</dc:title>
  <dc:subject>Security audit of &lt;hidden&gt; for &lt;secret&gt; by 1mm0rt41PC v2018-11-12</dc:subject>
  <dc:creator>NUEL Guillaume</dc:creator>
  <cp:keywords/>
  <dc:description>Security audit of &lt;hidden&gt; for &lt;secret&gt; by 1mm0rt41PC v2018-11-12</dc:description>
  <cp:lastModifiedBy>1mm0rt41PC</cp:lastModifiedBy>
  <cp:revision>0</cp:revision>
  <dcterms:created xsi:type="dcterms:W3CDTF">2011-06-07T11:38:29Z</dcterms:created>
  <dcterms:modified xsi:type="dcterms:W3CDTF">2019-04-12T14:35:18Z</dcterms:modified>
  <cp:category>Audit Documents</cp:category>
</cp:coreProperties>
</file>